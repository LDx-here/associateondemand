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Case Intake" sheetId="1" state="visible" r:id="rId1"/>
    <sheet xmlns:r="http://schemas.openxmlformats.org/officeDocument/2006/relationships" name="2. Brief Development Matrix" sheetId="2" state="visible" r:id="rId2"/>
    <sheet xmlns:r="http://schemas.openxmlformats.org/officeDocument/2006/relationships" name="3. Case Theme" sheetId="3" state="visible" r:id="rId3"/>
    <sheet xmlns:r="http://schemas.openxmlformats.org/officeDocument/2006/relationships" name="4. Legal Framework Reference"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i val="1"/>
      <color rgb="00404040"/>
      <sz val="10"/>
    </font>
    <font>
      <name val="Arial"/>
      <b val="1"/>
      <sz val="10"/>
    </font>
    <font>
      <name val="Arial"/>
      <b val="1"/>
      <color rgb="00FFFFFF"/>
      <sz val="11"/>
    </font>
    <font>
      <name val="Arial"/>
      <sz val="10"/>
    </font>
    <font>
      <name val="Arial"/>
      <b val="1"/>
      <color rgb="00FFFFFF"/>
      <sz val="10"/>
    </font>
    <font>
      <name val="Arial"/>
      <b val="1"/>
      <color rgb="001F3864"/>
      <sz val="10"/>
    </font>
    <font>
      <name val="Arial"/>
      <i val="1"/>
      <color rgb="00595959"/>
      <sz val="9"/>
    </font>
    <font>
      <name val="Arial"/>
      <i val="1"/>
      <color rgb="001F3864"/>
      <sz val="10"/>
    </font>
    <font>
      <name val="Arial"/>
      <b val="1"/>
      <color rgb="00FFFFFF"/>
      <sz val="9"/>
    </font>
    <font>
      <name val="Arial"/>
      <i val="1"/>
      <color rgb="00595959"/>
      <sz val="10"/>
    </font>
  </fonts>
  <fills count="11">
    <fill>
      <patternFill/>
    </fill>
    <fill>
      <patternFill patternType="gray125"/>
    </fill>
    <fill>
      <patternFill patternType="solid">
        <fgColor rgb="001F3864"/>
      </patternFill>
    </fill>
    <fill>
      <patternFill patternType="solid">
        <fgColor rgb="002E5395"/>
      </patternFill>
    </fill>
    <fill>
      <patternFill patternType="solid">
        <fgColor rgb="00FFF2CC"/>
      </patternFill>
    </fill>
    <fill>
      <patternFill patternType="solid">
        <fgColor rgb="004472C4"/>
      </patternFill>
    </fill>
    <fill>
      <patternFill patternType="solid">
        <fgColor rgb="00D9E2F3"/>
      </patternFill>
    </fill>
    <fill>
      <patternFill patternType="solid">
        <fgColor rgb="002E7D32"/>
      </patternFill>
    </fill>
    <fill>
      <patternFill patternType="solid">
        <fgColor rgb="00C0392B"/>
      </patternFill>
    </fill>
    <fill>
      <patternFill patternType="solid">
        <fgColor rgb="00EBF3FB"/>
      </patternFill>
    </fill>
    <fill>
      <patternFill patternType="solid">
        <fgColor rgb="006EA6D7"/>
      </patternFill>
    </fill>
  </fills>
  <borders count="4">
    <border>
      <left/>
      <right/>
      <top/>
      <bottom/>
      <diagonal/>
    </border>
    <border>
      <bottom style="thin">
        <color rgb="00000000"/>
      </bottom>
    </border>
    <border>
      <left style="thin">
        <color rgb="00BFBFBF"/>
      </left>
      <right style="thin">
        <color rgb="00BFBFBF"/>
      </right>
      <top style="thin">
        <color rgb="00BFBFBF"/>
      </top>
      <bottom style="thin">
        <color rgb="00BFBFBF"/>
      </bottom>
    </border>
    <border>
      <left/>
      <right/>
      <top/>
      <bottom style="thin">
        <color rgb="00000000"/>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xf numFmtId="0" fontId="3" fillId="0" borderId="0" pivotButton="0" quotePrefix="0" xfId="0"/>
    <xf numFmtId="0" fontId="0" fillId="0" borderId="1" pivotButton="0" quotePrefix="0" xfId="0"/>
    <xf numFmtId="0" fontId="4" fillId="3" borderId="0" pivotButton="0" quotePrefix="0" xfId="0"/>
    <xf numFmtId="0" fontId="3" fillId="4" borderId="0" pivotButton="0" quotePrefix="0" xfId="0"/>
    <xf numFmtId="0" fontId="5" fillId="4" borderId="0" pivotButton="0" quotePrefix="0" xfId="0"/>
    <xf numFmtId="0" fontId="0" fillId="4" borderId="0" applyAlignment="1" pivotButton="0" quotePrefix="0" xfId="0">
      <alignment vertical="top" wrapText="1"/>
    </xf>
    <xf numFmtId="0" fontId="6" fillId="5" borderId="2" applyAlignment="1" pivotButton="0" quotePrefix="0" xfId="0">
      <alignment horizontal="center" vertical="center" wrapText="1"/>
    </xf>
    <xf numFmtId="0" fontId="4" fillId="3" borderId="0" applyAlignment="1" pivotButton="0" quotePrefix="0" xfId="0">
      <alignment horizontal="left" vertical="center"/>
    </xf>
    <xf numFmtId="0" fontId="7" fillId="6" borderId="0" applyAlignment="1" pivotButton="0" quotePrefix="0" xfId="0">
      <alignment vertical="top" wrapText="1"/>
    </xf>
    <xf numFmtId="0" fontId="0" fillId="6" borderId="0" pivotButton="0" quotePrefix="0" xfId="0"/>
    <xf numFmtId="0" fontId="8" fillId="0" borderId="2" pivotButton="0" quotePrefix="0" xfId="0"/>
    <xf numFmtId="0" fontId="5"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center" wrapText="1"/>
    </xf>
    <xf numFmtId="0" fontId="8" fillId="0" borderId="2" applyAlignment="1" pivotButton="0" quotePrefix="0" xfId="0">
      <alignment vertical="top" wrapText="1"/>
    </xf>
    <xf numFmtId="0" fontId="6" fillId="5" borderId="2" applyAlignment="1" pivotButton="0" quotePrefix="0" xfId="0">
      <alignment vertical="top" wrapText="1"/>
    </xf>
    <xf numFmtId="0" fontId="3" fillId="0" borderId="2" applyAlignment="1" pivotButton="0" quotePrefix="0" xfId="0">
      <alignment vertical="top" wrapText="1"/>
    </xf>
    <xf numFmtId="0" fontId="0" fillId="0" borderId="3" pivotButton="0" quotePrefix="0" xfId="0"/>
    <xf numFmtId="0" fontId="8" fillId="4" borderId="0" pivotButton="0" quotePrefix="0" xfId="0"/>
    <xf numFmtId="0" fontId="8" fillId="4" borderId="0" applyAlignment="1" pivotButton="0" quotePrefix="0" xfId="0">
      <alignment vertical="top" wrapText="1"/>
    </xf>
    <xf numFmtId="0" fontId="0" fillId="4" borderId="0" pivotButton="0" quotePrefix="0" xfId="0"/>
    <xf numFmtId="0" fontId="9" fillId="0" borderId="2" applyAlignment="1" pivotButton="0" quotePrefix="0" xfId="0">
      <alignment vertical="top" wrapText="1"/>
    </xf>
    <xf numFmtId="0" fontId="4" fillId="7" borderId="0" applyAlignment="1" pivotButton="0" quotePrefix="0" xfId="0">
      <alignment horizontal="left" vertical="center"/>
    </xf>
    <xf numFmtId="0" fontId="4" fillId="8" borderId="0" applyAlignment="1" pivotButton="0" quotePrefix="0" xfId="0">
      <alignment horizontal="left" vertical="center"/>
    </xf>
    <xf numFmtId="0" fontId="1" fillId="2" borderId="2" applyAlignment="1" pivotButton="0" quotePrefix="0" xfId="0">
      <alignment horizontal="center" vertical="center" wrapText="1"/>
    </xf>
    <xf numFmtId="0" fontId="0" fillId="0" borderId="2" pivotButton="0" quotePrefix="0" xfId="0"/>
    <xf numFmtId="0" fontId="8" fillId="4" borderId="2" applyAlignment="1" pivotButton="0" quotePrefix="0" xfId="0">
      <alignment vertical="top" wrapText="1"/>
    </xf>
    <xf numFmtId="0" fontId="6" fillId="5" borderId="2" applyAlignment="1" pivotButton="0" quotePrefix="0" xfId="0">
      <alignment horizontal="left" vertical="center" wrapText="1"/>
    </xf>
    <xf numFmtId="0" fontId="7" fillId="9" borderId="2" applyAlignment="1" pivotButton="0" quotePrefix="0" xfId="0">
      <alignment vertical="top" wrapText="1"/>
    </xf>
    <xf numFmtId="0" fontId="5" fillId="9" borderId="2" applyAlignment="1" pivotButton="0" quotePrefix="0" xfId="0">
      <alignment vertical="top" wrapText="1"/>
    </xf>
    <xf numFmtId="0" fontId="10" fillId="10" borderId="2" applyAlignment="1" pivotButton="0" quotePrefix="0" xfId="0">
      <alignment horizontal="center" vertical="center" wrapText="1"/>
    </xf>
    <xf numFmtId="0" fontId="7" fillId="9" borderId="2" applyAlignment="1" pivotButton="0" quotePrefix="0" xfId="0">
      <alignment horizontal="center" vertical="center" wrapText="1"/>
    </xf>
    <xf numFmtId="0" fontId="11" fillId="9" borderId="2" applyAlignment="1" pivotButton="0" quotePrefix="0" xfId="0">
      <alignment vertical="top" wrapText="1"/>
    </xf>
    <xf numFmtId="0" fontId="6" fillId="3" borderId="2" applyAlignment="1" pivotButton="0" quotePrefix="0" xfId="0">
      <alignment horizontal="left" vertical="center" wrapText="1"/>
    </xf>
    <xf numFmtId="0" fontId="6" fillId="8" borderId="2" applyAlignment="1" pivotButton="0" quotePrefix="0" xfId="0">
      <alignment horizontal="left" vertical="center" wrapText="1"/>
    </xf>
  </cellXfs>
  <cellStyles count="1">
    <cellStyle name="Normal" xfId="0" builtinId="0" hidden="0"/>
  </cellStyles>
  <dxfs count="5">
    <dxf>
      <fill>
        <patternFill patternType="solid">
          <fgColor rgb="00C6E0B4"/>
        </patternFill>
      </fill>
    </dxf>
    <dxf>
      <fill>
        <patternFill patternType="solid">
          <fgColor rgb="00F8CBAD"/>
        </patternFill>
      </fill>
    </dxf>
    <dxf>
      <fill>
        <patternFill patternType="solid">
          <fgColor rgb="00F2F2F2"/>
        </patternFill>
      </fill>
    </dxf>
    <dxf>
      <fill>
        <patternFill patternType="solid">
          <fgColor rgb="00A9D18E"/>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
  <sheetViews>
    <sheetView workbookViewId="0">
      <pane ySplit="19" topLeftCell="A20" activePane="bottomLeft" state="frozen"/>
      <selection pane="bottomLeft" activeCell="A1" sqref="A1"/>
    </sheetView>
  </sheetViews>
  <sheetFormatPr baseColWidth="8" defaultRowHeight="15"/>
  <cols>
    <col width="22" customWidth="1" min="1" max="1"/>
    <col width="26" customWidth="1" min="2" max="2"/>
    <col width="55" customWidth="1" min="3" max="3"/>
    <col width="32" customWidth="1" min="4" max="4"/>
    <col width="14" customWidth="1" min="5" max="5"/>
    <col width="32" customWidth="1" min="6" max="6"/>
    <col width="26" customWidth="1" min="7" max="7"/>
  </cols>
  <sheetData>
    <row r="1" ht="22" customHeight="1">
      <c r="A1" s="1" t="inlineStr">
        <is>
          <t>AOS DISCRETIONARY FACTORS — CASE ASSESSMENT TOOL</t>
        </is>
      </c>
    </row>
    <row r="2" ht="32" customHeight="1">
      <c r="A2" s="2" t="inlineStr">
        <is>
          <t>Use with every I-485 filing to build a contemporaneous record of the totality-of-the-circumstances discretionary analysis required under PM-602-0199 (May 21, 2026), 1 USCIS-PM E.8, and 7 USCIS-PM A.10. Standard of proof: preponderance of the evidence.</t>
        </is>
      </c>
    </row>
    <row r="4">
      <c r="A4" s="3" t="inlineStr">
        <is>
          <t>Client Name:</t>
        </is>
      </c>
      <c r="B4" s="4" t="n"/>
      <c r="C4" s="20" t="n"/>
      <c r="D4" s="20" t="n"/>
    </row>
    <row r="5">
      <c r="A5" s="3" t="inlineStr">
        <is>
          <t>Matter No.:</t>
        </is>
      </c>
      <c r="B5" s="4" t="n"/>
      <c r="C5" s="20" t="n"/>
      <c r="D5" s="20" t="n"/>
    </row>
    <row r="6">
      <c r="A6" s="3" t="inlineStr">
        <is>
          <t>Country of Origin / CP Post:</t>
        </is>
      </c>
      <c r="B6" s="4" t="n"/>
      <c r="C6" s="20" t="n"/>
      <c r="D6" s="20" t="n"/>
    </row>
    <row r="7">
      <c r="A7" s="3" t="inlineStr">
        <is>
          <t>Filing Category (e.g., I-130/I-485, EB, AOS-Asylee):</t>
        </is>
      </c>
      <c r="B7" s="4" t="n"/>
      <c r="C7" s="20" t="n"/>
      <c r="D7" s="20" t="n"/>
    </row>
    <row r="8">
      <c r="A8" s="3" t="inlineStr">
        <is>
          <t>Date Prepared:</t>
        </is>
      </c>
      <c r="B8" s="4" t="n"/>
      <c r="C8" s="20" t="n"/>
      <c r="D8" s="20" t="n"/>
    </row>
    <row r="9">
      <c r="A9" s="3" t="inlineStr">
        <is>
          <t>Prepared By:</t>
        </is>
      </c>
      <c r="B9" s="4" t="n"/>
      <c r="C9" s="20" t="n"/>
      <c r="D9" s="20" t="n"/>
    </row>
    <row r="11" ht="20" customHeight="1">
      <c r="A11" s="5" t="inlineStr">
        <is>
          <t>SUMMARY — TOTALITY OF THE CIRCUMSTANCES</t>
        </is>
      </c>
    </row>
    <row r="12">
      <c r="A12" s="6" t="inlineStr">
        <is>
          <t>Total Positive Factors:</t>
        </is>
      </c>
      <c r="B12" s="7">
        <f>COUNTIF(E20:E112,"Positive")</f>
        <v/>
      </c>
    </row>
    <row r="13">
      <c r="A13" s="6" t="inlineStr">
        <is>
          <t>Total Negative Factors:</t>
        </is>
      </c>
      <c r="B13" s="7">
        <f>COUNTIF(E20:E112,"Negative")</f>
        <v/>
      </c>
    </row>
    <row r="14">
      <c r="A14" s="6" t="inlineStr">
        <is>
          <t>Total Neutral / Not Applicable:</t>
        </is>
      </c>
      <c r="B14" s="7">
        <f>COUNTIF(E20:E112,"Neutral")+COUNTIF(E20:E112,"N/A")</f>
        <v/>
      </c>
    </row>
    <row r="15" ht="18" customHeight="1">
      <c r="A15" s="6" t="inlineStr">
        <is>
          <t>Overall Assessment / Recommended Strategy:</t>
        </is>
      </c>
      <c r="B15" s="8" t="n"/>
    </row>
    <row r="16" ht="18" customHeight="1"/>
    <row r="17" ht="18" customHeight="1"/>
    <row r="19" ht="30" customHeight="1">
      <c r="A19" s="9" t="inlineStr">
        <is>
          <t>Category</t>
        </is>
      </c>
      <c r="B19" s="9" t="inlineStr">
        <is>
          <t>Sub-Issue</t>
        </is>
      </c>
      <c r="C19" s="9" t="inlineStr">
        <is>
          <t>Question / Discretionary Factor</t>
        </is>
      </c>
      <c r="D19" s="9" t="inlineStr">
        <is>
          <t>Case Facts / Answer</t>
        </is>
      </c>
      <c r="E19" s="9" t="inlineStr">
        <is>
          <t>Favors (Pos / Neg / Neutral / N-A)</t>
        </is>
      </c>
      <c r="F19" s="9" t="inlineStr">
        <is>
          <t>Evidence to Gather</t>
        </is>
      </c>
      <c r="G19" s="9" t="inlineStr">
        <is>
          <t>Source</t>
        </is>
      </c>
    </row>
    <row r="20" ht="20" customHeight="1">
      <c r="A20" s="10" t="inlineStr">
        <is>
          <t>1. ELIGIBILITY FOR ADJUSTMENT</t>
        </is>
      </c>
    </row>
    <row r="21" ht="18" customHeight="1">
      <c r="A21" s="11" t="inlineStr">
        <is>
          <t>Statutory Eligibility</t>
        </is>
      </c>
      <c r="C21" s="12" t="n"/>
      <c r="D21" s="12" t="n"/>
      <c r="E21" s="12" t="n"/>
      <c r="F21" s="12" t="n"/>
      <c r="G21" s="12" t="n"/>
    </row>
    <row r="22" ht="42" customHeight="1">
      <c r="A22" s="13" t="inlineStr">
        <is>
          <t>1. ELIGIBILITY FOR ADJUSTMENT</t>
        </is>
      </c>
      <c r="B22" s="13" t="inlineStr">
        <is>
          <t>Statutory Eligibility</t>
        </is>
      </c>
      <c r="C22" s="14" t="inlineStr">
        <is>
          <t>Does the Applicant meet every statutory and regulatory eligibility requirement for AOS under INA §245(a) (visa availability, admissibility, eligible to receive an immigrant visa)?</t>
        </is>
      </c>
      <c r="D22" s="15" t="n"/>
      <c r="E22" s="16" t="inlineStr"/>
      <c r="F22" s="15" t="n"/>
      <c r="G22" s="17" t="inlineStr">
        <is>
          <t>PM-602-0199 (5/21/26); INA 245(a)</t>
        </is>
      </c>
    </row>
    <row r="23" ht="42" customHeight="1">
      <c r="A23" s="13" t="inlineStr">
        <is>
          <t>1. ELIGIBILITY FOR ADJUSTMENT</t>
        </is>
      </c>
      <c r="B23" s="13" t="inlineStr">
        <is>
          <t>Statutory Eligibility</t>
        </is>
      </c>
      <c r="C23" s="14" t="inlineStr">
        <is>
          <t>Is the Applicant otherwise admissible, or does the Applicant require a waiver of any ground(s) of inadmissibility under INA §212(a)?</t>
        </is>
      </c>
      <c r="D23" s="15" t="n"/>
      <c r="E23" s="16" t="inlineStr"/>
      <c r="F23" s="15" t="n"/>
      <c r="G23" s="17" t="inlineStr">
        <is>
          <t>1 USCIS-PM E.8</t>
        </is>
      </c>
    </row>
    <row r="24" ht="42" customHeight="1">
      <c r="A24" s="13" t="inlineStr">
        <is>
          <t>1. ELIGIBILITY FOR ADJUSTMENT</t>
        </is>
      </c>
      <c r="B24" s="13" t="inlineStr">
        <is>
          <t>Statutory Eligibility</t>
        </is>
      </c>
      <c r="C24" s="14" t="inlineStr">
        <is>
          <t>Has the Applicant obtained (or is the Applicant eligible for) any required waiver of inadmissibility?</t>
        </is>
      </c>
      <c r="D24" s="15" t="n"/>
      <c r="E24" s="16" t="inlineStr"/>
      <c r="F24" s="15" t="n"/>
      <c r="G24" s="17" t="inlineStr">
        <is>
          <t>1 USCIS-PM E.8</t>
        </is>
      </c>
    </row>
    <row r="25" ht="42" customHeight="1">
      <c r="A25" s="13" t="inlineStr">
        <is>
          <t>1. ELIGIBILITY FOR ADJUSTMENT</t>
        </is>
      </c>
      <c r="B25" s="13" t="inlineStr">
        <is>
          <t>Statutory Eligibility</t>
        </is>
      </c>
      <c r="C25" s="14" t="inlineStr">
        <is>
          <t>Is a visa number immediately available (priority date current) at filing and at adjudication?</t>
        </is>
      </c>
      <c r="D25" s="15" t="n"/>
      <c r="E25" s="16" t="inlineStr"/>
      <c r="F25" s="15" t="n"/>
      <c r="G25" s="17" t="inlineStr">
        <is>
          <t>INA 245(a)(3)</t>
        </is>
      </c>
    </row>
    <row r="26" ht="18" customHeight="1">
      <c r="A26" s="11" t="inlineStr">
        <is>
          <t>AOS vs. Consular Processing — Threshold Question</t>
        </is>
      </c>
      <c r="C26" s="12" t="n"/>
      <c r="D26" s="12" t="n"/>
      <c r="E26" s="12" t="n"/>
      <c r="F26" s="12" t="n"/>
      <c r="G26" s="12" t="n"/>
    </row>
    <row r="27" ht="42" customHeight="1">
      <c r="A27" s="13" t="inlineStr">
        <is>
          <t>1. ELIGIBILITY FOR ADJUSTMENT</t>
        </is>
      </c>
      <c r="B27" s="13" t="inlineStr">
        <is>
          <t>AOS vs. Consular Processing — Threshold Question</t>
        </is>
      </c>
      <c r="C27" s="14" t="inlineStr">
        <is>
          <t>PM-602-0199 frames AOS as an 'administrative grace' / extraordinary relief that allows the Applicant to dispense with consular processing abroad. Why is AOS — rather than consular processing — appropriate and in the best interest of both the Applicant and the United States in this case?</t>
        </is>
      </c>
      <c r="D27" s="15" t="n"/>
      <c r="E27" s="16" t="inlineStr"/>
      <c r="F27" s="15" t="n"/>
      <c r="G27" s="17" t="inlineStr">
        <is>
          <t>PM-602-0199 (5/21/26)</t>
        </is>
      </c>
    </row>
    <row r="28" ht="42" customHeight="1">
      <c r="A28" s="13" t="inlineStr">
        <is>
          <t>1. ELIGIBILITY FOR ADJUSTMENT</t>
        </is>
      </c>
      <c r="B28" s="13" t="inlineStr">
        <is>
          <t>AOS vs. Consular Processing — Threshold Question</t>
        </is>
      </c>
      <c r="C28" s="14" t="inlineStr">
        <is>
          <t>Did the Applicant intend, at the time of entry, to remain in the U.S. and pursue AOS, or did circumstances arise after lawful entry that now make AOS appropriate?</t>
        </is>
      </c>
      <c r="D28" s="15" t="n"/>
      <c r="E28" s="16" t="inlineStr"/>
      <c r="F28" s="15" t="n"/>
      <c r="G28" s="17" t="inlineStr">
        <is>
          <t>PM-602-0199 (5/21/26); 7 USCIS-PM A.10</t>
        </is>
      </c>
    </row>
    <row r="29" ht="42" customHeight="1">
      <c r="A29" s="13" t="inlineStr">
        <is>
          <t>1. ELIGIBILITY FOR ADJUSTMENT</t>
        </is>
      </c>
      <c r="B29" s="13" t="inlineStr">
        <is>
          <t>AOS vs. Consular Processing — Threshold Question</t>
        </is>
      </c>
      <c r="C29" s="14" t="inlineStr">
        <is>
          <t>What specific factors make consular processing impractical, unsafe, or unavailable for this Applicant (e.g., country conditions, processing delays, safety, family unity)?</t>
        </is>
      </c>
      <c r="D29" s="15" t="n"/>
      <c r="E29" s="16" t="inlineStr"/>
      <c r="F29" s="15" t="n"/>
      <c r="G29" s="17" t="inlineStr">
        <is>
          <t>PM-602-0199 (5/21/26)</t>
        </is>
      </c>
    </row>
    <row r="30" ht="20" customHeight="1">
      <c r="A30" s="10" t="inlineStr">
        <is>
          <t>2. FAMILY &amp; COMMUNITY TIES (Positive Factors)</t>
        </is>
      </c>
    </row>
    <row r="31" ht="18" customHeight="1">
      <c r="A31" s="11" t="inlineStr">
        <is>
          <t>Immediate Family in the U.S.</t>
        </is>
      </c>
      <c r="C31" s="12" t="n"/>
      <c r="D31" s="12" t="n"/>
      <c r="E31" s="12" t="n"/>
      <c r="F31" s="12" t="n"/>
      <c r="G31" s="12" t="n"/>
    </row>
    <row r="32" ht="42" customHeight="1">
      <c r="A32" s="13" t="inlineStr">
        <is>
          <t>2. FAMILY &amp; COMMUNITY TIES (Positive Factors)</t>
        </is>
      </c>
      <c r="B32" s="13" t="inlineStr">
        <is>
          <t>Immediate Family in the U.S.</t>
        </is>
      </c>
      <c r="C32" s="14" t="inlineStr">
        <is>
          <t>Does the Applicant have a U.S. citizen or LPR spouse?</t>
        </is>
      </c>
      <c r="D32" s="15" t="n"/>
      <c r="E32" s="16" t="inlineStr"/>
      <c r="F32" s="15" t="n"/>
      <c r="G32" s="17" t="inlineStr">
        <is>
          <t>1 USCIS-PM E.8; CILA Discretion Chart</t>
        </is>
      </c>
    </row>
    <row r="33" ht="42" customHeight="1">
      <c r="A33" s="13" t="inlineStr">
        <is>
          <t>2. FAMILY &amp; COMMUNITY TIES (Positive Factors)</t>
        </is>
      </c>
      <c r="B33" s="13" t="inlineStr">
        <is>
          <t>Immediate Family in the U.S.</t>
        </is>
      </c>
      <c r="C33" s="14" t="inlineStr">
        <is>
          <t>Does the Applicant have U.S. citizen or LPR children? What are their ages?</t>
        </is>
      </c>
      <c r="D33" s="15" t="n"/>
      <c r="E33" s="16" t="inlineStr"/>
      <c r="F33" s="15" t="n"/>
      <c r="G33" s="17" t="inlineStr">
        <is>
          <t>1 USCIS-PM E.8; CILA Discretion Chart</t>
        </is>
      </c>
    </row>
    <row r="34" ht="42" customHeight="1">
      <c r="A34" s="13" t="inlineStr">
        <is>
          <t>2. FAMILY &amp; COMMUNITY TIES (Positive Factors)</t>
        </is>
      </c>
      <c r="B34" s="13" t="inlineStr">
        <is>
          <t>Immediate Family in the U.S.</t>
        </is>
      </c>
      <c r="C34" s="14" t="inlineStr">
        <is>
          <t>Does the Applicant have U.S. citizen or LPR parents or siblings residing in the U.S.?</t>
        </is>
      </c>
      <c r="D34" s="15" t="n"/>
      <c r="E34" s="16" t="inlineStr"/>
      <c r="F34" s="15" t="n"/>
      <c r="G34" s="17" t="inlineStr">
        <is>
          <t>CILA Discretion Chart</t>
        </is>
      </c>
    </row>
    <row r="35" ht="42" customHeight="1">
      <c r="A35" s="13" t="inlineStr">
        <is>
          <t>2. FAMILY &amp; COMMUNITY TIES (Positive Factors)</t>
        </is>
      </c>
      <c r="B35" s="13" t="inlineStr">
        <is>
          <t>Immediate Family in the U.S.</t>
        </is>
      </c>
      <c r="C35" s="14" t="inlineStr">
        <is>
          <t>How long has the family unit resided together in the U.S.? Would adjudication outcome separate the family, even temporarily?</t>
        </is>
      </c>
      <c r="D35" s="15" t="n"/>
      <c r="E35" s="16" t="inlineStr"/>
      <c r="F35" s="15" t="n"/>
      <c r="G35" s="17" t="inlineStr">
        <is>
          <t>1 USCIS-PM E.8</t>
        </is>
      </c>
    </row>
    <row r="36" ht="18" customHeight="1">
      <c r="A36" s="11" t="inlineStr">
        <is>
          <t>Hardship to U.S. Family if Applicant Required to Depart for CP</t>
        </is>
      </c>
      <c r="C36" s="12" t="n"/>
      <c r="D36" s="12" t="n"/>
      <c r="E36" s="12" t="n"/>
      <c r="F36" s="12" t="n"/>
      <c r="G36" s="12" t="n"/>
    </row>
    <row r="37" ht="42" customHeight="1">
      <c r="A37" s="13" t="inlineStr">
        <is>
          <t>2. FAMILY &amp; COMMUNITY TIES (Positive Factors)</t>
        </is>
      </c>
      <c r="B37" s="13" t="inlineStr">
        <is>
          <t>Hardship to U.S. Family if Applicant Required to Depart for CP</t>
        </is>
      </c>
      <c r="C37" s="14" t="inlineStr">
        <is>
          <t>Does the Applicant provide essential financial support to a dependent spouse or child in the U.S.? Could that support continue if the Applicant departed for consular processing?</t>
        </is>
      </c>
      <c r="D37" s="15" t="n"/>
      <c r="E37" s="16" t="inlineStr"/>
      <c r="F37" s="15" t="n"/>
      <c r="G37" s="17" t="inlineStr">
        <is>
          <t>1 USCIS-PM E.8; CILA Discretion Chart</t>
        </is>
      </c>
    </row>
    <row r="38" ht="42" customHeight="1">
      <c r="A38" s="13" t="inlineStr">
        <is>
          <t>2. FAMILY &amp; COMMUNITY TIES (Positive Factors)</t>
        </is>
      </c>
      <c r="B38" s="13" t="inlineStr">
        <is>
          <t>Hardship to U.S. Family if Applicant Required to Depart for CP</t>
        </is>
      </c>
      <c r="C38" s="14" t="inlineStr">
        <is>
          <t>Does the Applicant provide hands-on caregiving to a family member with a medical condition, disability, or special needs?</t>
        </is>
      </c>
      <c r="D38" s="15" t="n"/>
      <c r="E38" s="16" t="inlineStr"/>
      <c r="F38" s="15" t="n"/>
      <c r="G38" s="17" t="inlineStr">
        <is>
          <t>1 USCIS-PM E.8</t>
        </is>
      </c>
    </row>
    <row r="39" ht="42" customHeight="1">
      <c r="A39" s="13" t="inlineStr">
        <is>
          <t>2. FAMILY &amp; COMMUNITY TIES (Positive Factors)</t>
        </is>
      </c>
      <c r="B39" s="13" t="inlineStr">
        <is>
          <t>Hardship to U.S. Family if Applicant Required to Depart for CP</t>
        </is>
      </c>
      <c r="C39" s="14" t="inlineStr">
        <is>
          <t>Would temporary separation cause demonstrable emotional, financial, or medical hardship to U.S. family members (documented, not speculative)?</t>
        </is>
      </c>
      <c r="D39" s="15" t="n"/>
      <c r="E39" s="16" t="inlineStr"/>
      <c r="F39" s="15" t="n"/>
      <c r="G39" s="17" t="inlineStr">
        <is>
          <t>1 USCIS-PM E.8</t>
        </is>
      </c>
    </row>
    <row r="40" ht="42" customHeight="1">
      <c r="A40" s="13" t="inlineStr">
        <is>
          <t>2. FAMILY &amp; COMMUNITY TIES (Positive Factors)</t>
        </is>
      </c>
      <c r="B40" s="13" t="inlineStr">
        <is>
          <t>Hardship to U.S. Family if Applicant Required to Depart for CP</t>
        </is>
      </c>
      <c r="C40" s="14" t="inlineStr">
        <is>
          <t>Are there U.S.-citizen children who would face disruption to school, medical treatment, or care arrangements?</t>
        </is>
      </c>
      <c r="D40" s="15" t="n"/>
      <c r="E40" s="16" t="inlineStr"/>
      <c r="F40" s="15" t="n"/>
      <c r="G40" s="17" t="inlineStr">
        <is>
          <t>CILA Discretion Chart</t>
        </is>
      </c>
    </row>
    <row r="41" ht="18" customHeight="1">
      <c r="A41" s="11" t="inlineStr">
        <is>
          <t>Community Ties &amp; Contributions</t>
        </is>
      </c>
      <c r="C41" s="12" t="n"/>
      <c r="D41" s="12" t="n"/>
      <c r="E41" s="12" t="n"/>
      <c r="F41" s="12" t="n"/>
      <c r="G41" s="12" t="n"/>
    </row>
    <row r="42" ht="42" customHeight="1">
      <c r="A42" s="13" t="inlineStr">
        <is>
          <t>2. FAMILY &amp; COMMUNITY TIES (Positive Factors)</t>
        </is>
      </c>
      <c r="B42" s="13" t="inlineStr">
        <is>
          <t>Community Ties &amp; Contributions</t>
        </is>
      </c>
      <c r="C42" s="14" t="inlineStr">
        <is>
          <t>Is the Applicant an active member of a church, mosque, synagogue, or other religious/community organization?</t>
        </is>
      </c>
      <c r="D42" s="15" t="n"/>
      <c r="E42" s="16" t="inlineStr"/>
      <c r="F42" s="15" t="n"/>
      <c r="G42" s="17" t="inlineStr">
        <is>
          <t>CILA Discretion Chart</t>
        </is>
      </c>
    </row>
    <row r="43" ht="42" customHeight="1">
      <c r="A43" s="13" t="inlineStr">
        <is>
          <t>2. FAMILY &amp; COMMUNITY TIES (Positive Factors)</t>
        </is>
      </c>
      <c r="B43" s="13" t="inlineStr">
        <is>
          <t>Community Ties &amp; Contributions</t>
        </is>
      </c>
      <c r="C43" s="14" t="inlineStr">
        <is>
          <t>Has the Applicant volunteered, mentored, or otherwise contributed time to community organizations?</t>
        </is>
      </c>
      <c r="D43" s="15" t="n"/>
      <c r="E43" s="16" t="inlineStr"/>
      <c r="F43" s="15" t="n"/>
      <c r="G43" s="17" t="inlineStr">
        <is>
          <t>PM-602-0188 (8/15/25); CILA Discretion Chart</t>
        </is>
      </c>
    </row>
    <row r="44" ht="42" customHeight="1">
      <c r="A44" s="13" t="inlineStr">
        <is>
          <t>2. FAMILY &amp; COMMUNITY TIES (Positive Factors)</t>
        </is>
      </c>
      <c r="B44" s="13" t="inlineStr">
        <is>
          <t>Community Ties &amp; Contributions</t>
        </is>
      </c>
      <c r="C44" s="14" t="inlineStr">
        <is>
          <t>Has the Applicant made charitable contributions (monetary or in-kind)?</t>
        </is>
      </c>
      <c r="D44" s="15" t="n"/>
      <c r="E44" s="16" t="inlineStr"/>
      <c r="F44" s="15" t="n"/>
      <c r="G44" s="17" t="inlineStr">
        <is>
          <t>PM-602-0188 (8/15/25)</t>
        </is>
      </c>
    </row>
    <row r="45" ht="42" customHeight="1">
      <c r="A45" s="13" t="inlineStr">
        <is>
          <t>2. FAMILY &amp; COMMUNITY TIES (Positive Factors)</t>
        </is>
      </c>
      <c r="B45" s="13" t="inlineStr">
        <is>
          <t>Community Ties &amp; Contributions</t>
        </is>
      </c>
      <c r="C45" s="14" t="inlineStr">
        <is>
          <t>Has the Applicant received recognition, awards, or commendations for community service, military, or law-enforcement-related contributions?</t>
        </is>
      </c>
      <c r="D45" s="15" t="n"/>
      <c r="E45" s="16" t="inlineStr"/>
      <c r="F45" s="15" t="n"/>
      <c r="G45" s="17" t="inlineStr">
        <is>
          <t>PM-602-0188 (8/15/25)</t>
        </is>
      </c>
    </row>
    <row r="46" ht="42" customHeight="1">
      <c r="A46" s="13" t="inlineStr">
        <is>
          <t>2. FAMILY &amp; COMMUNITY TIES (Positive Factors)</t>
        </is>
      </c>
      <c r="B46" s="13" t="inlineStr">
        <is>
          <t>Community Ties &amp; Contributions</t>
        </is>
      </c>
      <c r="C46" s="14" t="inlineStr">
        <is>
          <t>Has the Applicant cooperated with or assisted law enforcement (e.g., as a witness, U-visa certifier, etc.)?</t>
        </is>
      </c>
      <c r="D46" s="15" t="n"/>
      <c r="E46" s="16" t="inlineStr"/>
      <c r="F46" s="15" t="n"/>
      <c r="G46" s="17" t="inlineStr">
        <is>
          <t>PM-602-0188 (8/15/25)</t>
        </is>
      </c>
    </row>
    <row r="47" ht="20" customHeight="1">
      <c r="A47" s="10" t="inlineStr">
        <is>
          <t>3. HUMANITARIAN CONSIDERATIONS</t>
        </is>
      </c>
    </row>
    <row r="48" ht="18" customHeight="1">
      <c r="A48" s="11" t="inlineStr">
        <is>
          <t>Hardship to Applicant if Required to Depart</t>
        </is>
      </c>
      <c r="C48" s="12" t="n"/>
      <c r="D48" s="12" t="n"/>
      <c r="E48" s="12" t="n"/>
      <c r="F48" s="12" t="n"/>
      <c r="G48" s="12" t="n"/>
    </row>
    <row r="49" ht="42" customHeight="1">
      <c r="A49" s="13" t="inlineStr">
        <is>
          <t>3. HUMANITARIAN CONSIDERATIONS</t>
        </is>
      </c>
      <c r="B49" s="13" t="inlineStr">
        <is>
          <t>Hardship to Applicant if Required to Depart</t>
        </is>
      </c>
      <c r="C49" s="14" t="inlineStr">
        <is>
          <t>Does the Applicant have a medical condition requiring ongoing U.S.-based treatment that would be interrupted or unavailable abroad?</t>
        </is>
      </c>
      <c r="D49" s="15" t="n"/>
      <c r="E49" s="16" t="inlineStr"/>
      <c r="F49" s="15" t="n"/>
      <c r="G49" s="17" t="inlineStr">
        <is>
          <t>1 USCIS-PM E.8</t>
        </is>
      </c>
    </row>
    <row r="50" ht="42" customHeight="1">
      <c r="A50" s="13" t="inlineStr">
        <is>
          <t>3. HUMANITARIAN CONSIDERATIONS</t>
        </is>
      </c>
      <c r="B50" s="13" t="inlineStr">
        <is>
          <t>Hardship to Applicant if Required to Depart</t>
        </is>
      </c>
      <c r="C50" s="14" t="inlineStr">
        <is>
          <t>Does the Applicant lack family or community support in the home country?</t>
        </is>
      </c>
      <c r="D50" s="15" t="n"/>
      <c r="E50" s="16" t="inlineStr"/>
      <c r="F50" s="15" t="n"/>
      <c r="G50" s="17" t="inlineStr">
        <is>
          <t>1 USCIS-PM E.8</t>
        </is>
      </c>
    </row>
    <row r="51" ht="42" customHeight="1">
      <c r="A51" s="13" t="inlineStr">
        <is>
          <t>3. HUMANITARIAN CONSIDERATIONS</t>
        </is>
      </c>
      <c r="B51" s="13" t="inlineStr">
        <is>
          <t>Hardship to Applicant if Required to Depart</t>
        </is>
      </c>
      <c r="C51" s="14" t="inlineStr">
        <is>
          <t>Are there country-conditions concerns (violence, persecution, instability) that would create hardship or danger if the Applicant returned, even temporarily, for CP?</t>
        </is>
      </c>
      <c r="D51" s="15" t="n"/>
      <c r="E51" s="16" t="inlineStr"/>
      <c r="F51" s="15" t="n"/>
      <c r="G51" s="17" t="inlineStr">
        <is>
          <t>1 USCIS-PM E.8; 7 USCIS-PM A.10</t>
        </is>
      </c>
    </row>
    <row r="52" ht="42" customHeight="1">
      <c r="A52" s="13" t="inlineStr">
        <is>
          <t>3. HUMANITARIAN CONSIDERATIONS</t>
        </is>
      </c>
      <c r="B52" s="13" t="inlineStr">
        <is>
          <t>Hardship to Applicant if Required to Depart</t>
        </is>
      </c>
      <c r="C52" s="14" t="inlineStr">
        <is>
          <t>Is the Applicant's home country subject to Presidential Proclamation 10949 (entry-restriction list) or otherwise lacking functioning U.S. consular services, making CP impractical or impossible?</t>
        </is>
      </c>
      <c r="D52" s="15" t="n"/>
      <c r="E52" s="16" t="inlineStr"/>
      <c r="F52" s="15" t="n"/>
      <c r="G52" s="17" t="inlineStr">
        <is>
          <t>PM-602-0199 (5/21/26)</t>
        </is>
      </c>
    </row>
    <row r="53" ht="18" customHeight="1">
      <c r="A53" s="11" t="inlineStr">
        <is>
          <t>Humanitarian-Based Status / Entry</t>
        </is>
      </c>
      <c r="C53" s="12" t="n"/>
      <c r="D53" s="12" t="n"/>
      <c r="E53" s="12" t="n"/>
      <c r="F53" s="12" t="n"/>
      <c r="G53" s="12" t="n"/>
    </row>
    <row r="54" ht="42" customHeight="1">
      <c r="A54" s="13" t="inlineStr">
        <is>
          <t>3. HUMANITARIAN CONSIDERATIONS</t>
        </is>
      </c>
      <c r="B54" s="13" t="inlineStr">
        <is>
          <t>Humanitarian-Based Status / Entry</t>
        </is>
      </c>
      <c r="C54" s="14" t="inlineStr">
        <is>
          <t>Did the Applicant enter or obtain status through humanitarian parole, asylum, U/T visa, VAWA self-petition, SIJS, or similar humanitarian classification?</t>
        </is>
      </c>
      <c r="D54" s="15" t="n"/>
      <c r="E54" s="16" t="inlineStr"/>
      <c r="F54" s="15" t="n"/>
      <c r="G54" s="17" t="inlineStr">
        <is>
          <t>1 USCIS-PM E.8</t>
        </is>
      </c>
    </row>
    <row r="55" ht="42" customHeight="1">
      <c r="A55" s="13" t="inlineStr">
        <is>
          <t>3. HUMANITARIAN CONSIDERATIONS</t>
        </is>
      </c>
      <c r="B55" s="13" t="inlineStr">
        <is>
          <t>Humanitarian-Based Status / Entry</t>
        </is>
      </c>
      <c r="C55" s="14" t="inlineStr">
        <is>
          <t>Has the Applicant already been granted any other form of humanitarian relief (e.g., DACA, TPS, withholding) relevant to the AOS analysis?</t>
        </is>
      </c>
      <c r="D55" s="15" t="n"/>
      <c r="E55" s="16" t="inlineStr"/>
      <c r="F55" s="15" t="n"/>
      <c r="G55" s="17" t="inlineStr">
        <is>
          <t>1 USCIS-PM E.8</t>
        </is>
      </c>
    </row>
    <row r="56" ht="20" customHeight="1">
      <c r="A56" s="10" t="inlineStr">
        <is>
          <t>4. IMMIGRATION STATUS &amp; HISTORY</t>
        </is>
      </c>
    </row>
    <row r="57" ht="18" customHeight="1">
      <c r="A57" s="11" t="inlineStr">
        <is>
          <t>Length &amp; Lawfulness of U.S. Residence</t>
        </is>
      </c>
      <c r="C57" s="12" t="n"/>
      <c r="D57" s="12" t="n"/>
      <c r="E57" s="12" t="n"/>
      <c r="F57" s="12" t="n"/>
      <c r="G57" s="12" t="n"/>
    </row>
    <row r="58" ht="42" customHeight="1">
      <c r="A58" s="13" t="inlineStr">
        <is>
          <t>4. IMMIGRATION STATUS &amp; HISTORY</t>
        </is>
      </c>
      <c r="B58" s="13" t="inlineStr">
        <is>
          <t>Length &amp; Lawfulness of U.S. Residence</t>
        </is>
      </c>
      <c r="C58" s="14" t="inlineStr">
        <is>
          <t>How long has the Applicant resided in the U.S.? (Note: residence must have been substantially lawful to be treated as a positive factor.)</t>
        </is>
      </c>
      <c r="D58" s="15" t="n"/>
      <c r="E58" s="16" t="inlineStr"/>
      <c r="F58" s="15" t="n"/>
      <c r="G58" s="17" t="inlineStr">
        <is>
          <t>1 USCIS-PM E.8; PM-602-0199 (5/21/26)</t>
        </is>
      </c>
    </row>
    <row r="59" ht="42" customHeight="1">
      <c r="A59" s="13" t="inlineStr">
        <is>
          <t>4. IMMIGRATION STATUS &amp; HISTORY</t>
        </is>
      </c>
      <c r="B59" s="13" t="inlineStr">
        <is>
          <t>Length &amp; Lawfulness of U.S. Residence</t>
        </is>
      </c>
      <c r="C59" s="14" t="inlineStr">
        <is>
          <t>Has the Applicant maintained lawful nonimmigrant status continuously, or were there gaps / periods of unlawful presence?</t>
        </is>
      </c>
      <c r="D59" s="15" t="n"/>
      <c r="E59" s="16" t="inlineStr"/>
      <c r="F59" s="15" t="n"/>
      <c r="G59" s="17" t="inlineStr">
        <is>
          <t>1 USCIS-PM E.8</t>
        </is>
      </c>
    </row>
    <row r="60" ht="18" customHeight="1">
      <c r="A60" s="11" t="inlineStr">
        <is>
          <t>Manner &amp; Intent of Entry</t>
        </is>
      </c>
      <c r="C60" s="12" t="n"/>
      <c r="D60" s="12" t="n"/>
      <c r="E60" s="12" t="n"/>
      <c r="F60" s="12" t="n"/>
      <c r="G60" s="12" t="n"/>
    </row>
    <row r="61" ht="42" customHeight="1">
      <c r="A61" s="13" t="inlineStr">
        <is>
          <t>4. IMMIGRATION STATUS &amp; HISTORY</t>
        </is>
      </c>
      <c r="B61" s="13" t="inlineStr">
        <is>
          <t>Manner &amp; Intent of Entry</t>
        </is>
      </c>
      <c r="C61" s="14" t="inlineStr">
        <is>
          <t>How did the Applicant last enter the U.S. (visa category, parole, EWI)? Was it a 'dual intent' category (e.g., H-1B, L-1) or a single-intent category (e.g., B-2, F-1, J-1)?</t>
        </is>
      </c>
      <c r="D61" s="15" t="n"/>
      <c r="E61" s="16" t="inlineStr"/>
      <c r="F61" s="15" t="n"/>
      <c r="G61" s="17" t="inlineStr">
        <is>
          <t>PM-602-0199 (5/21/26); 7 USCIS-PM A.10</t>
        </is>
      </c>
    </row>
    <row r="62" ht="42" customHeight="1">
      <c r="A62" s="13" t="inlineStr">
        <is>
          <t>4. IMMIGRATION STATUS &amp; HISTORY</t>
        </is>
      </c>
      <c r="B62" s="13" t="inlineStr">
        <is>
          <t>Manner &amp; Intent of Entry</t>
        </is>
      </c>
      <c r="C62" s="14" t="inlineStr">
        <is>
          <t>What did the Applicant represent to CBP/consular officials about their intent at the time of the visa application and/or admission?</t>
        </is>
      </c>
      <c r="D62" s="15" t="n"/>
      <c r="E62" s="16" t="inlineStr"/>
      <c r="F62" s="15" t="n"/>
      <c r="G62" s="17" t="inlineStr">
        <is>
          <t>PM-602-0199 (5/21/26); 7 USCIS-PM A.10</t>
        </is>
      </c>
    </row>
    <row r="63" ht="42" customHeight="1">
      <c r="A63" s="13" t="inlineStr">
        <is>
          <t>4. IMMIGRATION STATUS &amp; HISTORY</t>
        </is>
      </c>
      <c r="B63" s="13" t="inlineStr">
        <is>
          <t>Manner &amp; Intent of Entry</t>
        </is>
      </c>
      <c r="C63" s="14" t="inlineStr">
        <is>
          <t>Is there any indication the Applicant obtained the visa or admission with a pre-existing intent to remain permanently and adjust status, inconsistent with the visa category sought (pre-conceived intent)?</t>
        </is>
      </c>
      <c r="D63" s="15" t="n"/>
      <c r="E63" s="16" t="inlineStr"/>
      <c r="F63" s="15" t="n"/>
      <c r="G63" s="17" t="inlineStr">
        <is>
          <t>PM-602-0199 (5/21/26); 7 USCIS-PM A.10</t>
        </is>
      </c>
    </row>
    <row r="64" ht="18" customHeight="1">
      <c r="A64" s="11" t="inlineStr">
        <is>
          <t>Decision to Pursue AOS Rather Than CP</t>
        </is>
      </c>
      <c r="C64" s="12" t="n"/>
      <c r="D64" s="12" t="n"/>
      <c r="E64" s="12" t="n"/>
      <c r="F64" s="12" t="n"/>
      <c r="G64" s="12" t="n"/>
    </row>
    <row r="65" ht="42" customHeight="1">
      <c r="A65" s="13" t="inlineStr">
        <is>
          <t>4. IMMIGRATION STATUS &amp; HISTORY</t>
        </is>
      </c>
      <c r="B65" s="13" t="inlineStr">
        <is>
          <t>Decision to Pursue AOS Rather Than CP</t>
        </is>
      </c>
      <c r="C65" s="14" t="inlineStr">
        <is>
          <t>When and why did the Applicant decide to seek adjustment rather than return home for an immigrant visa interview?</t>
        </is>
      </c>
      <c r="D65" s="15" t="n"/>
      <c r="E65" s="16" t="inlineStr"/>
      <c r="F65" s="15" t="n"/>
      <c r="G65" s="17" t="inlineStr">
        <is>
          <t>PM-602-0199 (5/21/26)</t>
        </is>
      </c>
    </row>
    <row r="66" ht="42" customHeight="1">
      <c r="A66" s="13" t="inlineStr">
        <is>
          <t>4. IMMIGRATION STATUS &amp; HISTORY</t>
        </is>
      </c>
      <c r="B66" s="13" t="inlineStr">
        <is>
          <t>Decision to Pursue AOS Rather Than CP</t>
        </is>
      </c>
      <c r="C66" s="14" t="inlineStr">
        <is>
          <t>Is consular processing realistically available in the Applicant's home country for this visa category (processing times, post operations)?</t>
        </is>
      </c>
      <c r="D66" s="15" t="n"/>
      <c r="E66" s="16" t="inlineStr"/>
      <c r="F66" s="15" t="n"/>
      <c r="G66" s="17" t="inlineStr">
        <is>
          <t>PM-602-0199 (5/21/26)</t>
        </is>
      </c>
    </row>
    <row r="67" ht="42" customHeight="1">
      <c r="A67" s="13" t="inlineStr">
        <is>
          <t>4. IMMIGRATION STATUS &amp; HISTORY</t>
        </is>
      </c>
      <c r="B67" s="13" t="inlineStr">
        <is>
          <t>Decision to Pursue AOS Rather Than CP</t>
        </is>
      </c>
      <c r="C67" s="14" t="inlineStr">
        <is>
          <t>Did anything occur after admission (marriage, birth of child, employer sponsorship, change in country conditions) that changed the Applicant's plans and now supports AOS?</t>
        </is>
      </c>
      <c r="D67" s="15" t="n"/>
      <c r="E67" s="16" t="inlineStr"/>
      <c r="F67" s="15" t="n"/>
      <c r="G67" s="17" t="inlineStr">
        <is>
          <t>7 USCIS-PM A.10</t>
        </is>
      </c>
    </row>
    <row r="68" ht="18" customHeight="1">
      <c r="A68" s="11" t="inlineStr">
        <is>
          <t>Immigration Law Violations</t>
        </is>
      </c>
      <c r="C68" s="12" t="n"/>
      <c r="D68" s="12" t="n"/>
      <c r="E68" s="12" t="n"/>
      <c r="F68" s="12" t="n"/>
      <c r="G68" s="12" t="n"/>
    </row>
    <row r="69" ht="42" customHeight="1">
      <c r="A69" s="13" t="inlineStr">
        <is>
          <t>4. IMMIGRATION STATUS &amp; HISTORY</t>
        </is>
      </c>
      <c r="B69" s="13" t="inlineStr">
        <is>
          <t>Immigration Law Violations</t>
        </is>
      </c>
      <c r="C69" s="14" t="inlineStr">
        <is>
          <t>Did the Applicant ever overstay the period authorized on Form I-94?</t>
        </is>
      </c>
      <c r="D69" s="15" t="n"/>
      <c r="E69" s="16" t="inlineStr"/>
      <c r="F69" s="15" t="n"/>
      <c r="G69" s="17" t="inlineStr">
        <is>
          <t>PM-602-0199 (5/21/26); 1 USCIS-PM E.8</t>
        </is>
      </c>
    </row>
    <row r="70" ht="42" customHeight="1">
      <c r="A70" s="13" t="inlineStr">
        <is>
          <t>4. IMMIGRATION STATUS &amp; HISTORY</t>
        </is>
      </c>
      <c r="B70" s="13" t="inlineStr">
        <is>
          <t>Immigration Law Violations</t>
        </is>
      </c>
      <c r="C70" s="14" t="inlineStr">
        <is>
          <t>Did the Applicant engage in unauthorized employment or unauthorized study?</t>
        </is>
      </c>
      <c r="D70" s="15" t="n"/>
      <c r="E70" s="16" t="inlineStr"/>
      <c r="F70" s="15" t="n"/>
      <c r="G70" s="17" t="inlineStr">
        <is>
          <t>PM-602-0199 (5/21/26); 1 USCIS-PM E.8</t>
        </is>
      </c>
    </row>
    <row r="71" ht="42" customHeight="1">
      <c r="A71" s="13" t="inlineStr">
        <is>
          <t>4. IMMIGRATION STATUS &amp; HISTORY</t>
        </is>
      </c>
      <c r="B71" s="13" t="inlineStr">
        <is>
          <t>Immigration Law Violations</t>
        </is>
      </c>
      <c r="C71" s="14" t="inlineStr">
        <is>
          <t>Is the Applicant subject to (or has the Applicant triggered) any 3-year, 10-year, or permanent unlawful-presence bar under INA §212(a)(9)?</t>
        </is>
      </c>
      <c r="D71" s="15" t="n"/>
      <c r="E71" s="16" t="inlineStr"/>
      <c r="F71" s="15" t="n"/>
      <c r="G71" s="17" t="inlineStr">
        <is>
          <t>1 USCIS-PM E.8</t>
        </is>
      </c>
    </row>
    <row r="72" ht="42" customHeight="1">
      <c r="A72" s="13" t="inlineStr">
        <is>
          <t>4. IMMIGRATION STATUS &amp; HISTORY</t>
        </is>
      </c>
      <c r="B72" s="13" t="inlineStr">
        <is>
          <t>Immigration Law Violations</t>
        </is>
      </c>
      <c r="C72" s="14" t="inlineStr">
        <is>
          <t>Has the Applicant ever made a false claim to U.S. citizenship, registered to vote, or voted unlawfully in the U.S.?</t>
        </is>
      </c>
      <c r="D72" s="15" t="n"/>
      <c r="E72" s="16" t="inlineStr"/>
      <c r="F72" s="15" t="n"/>
      <c r="G72" s="17" t="inlineStr">
        <is>
          <t>PM-602-0199 (5/21/26); PM-602-0188 (8/15/25)</t>
        </is>
      </c>
    </row>
    <row r="73" ht="42" customHeight="1">
      <c r="A73" s="13" t="inlineStr">
        <is>
          <t>4. IMMIGRATION STATUS &amp; HISTORY</t>
        </is>
      </c>
      <c r="B73" s="13" t="inlineStr">
        <is>
          <t>Immigration Law Violations</t>
        </is>
      </c>
      <c r="C73" s="14" t="inlineStr">
        <is>
          <t>Has the Applicant ever provided false or fraudulent testimony or documents to USCIS, a consular officer, CBP, or any other government agency?</t>
        </is>
      </c>
      <c r="D73" s="15" t="n"/>
      <c r="E73" s="16" t="inlineStr"/>
      <c r="F73" s="15" t="n"/>
      <c r="G73" s="17" t="inlineStr">
        <is>
          <t>PM-602-0199 (5/21/26); 1 USCIS-PM E.8</t>
        </is>
      </c>
    </row>
    <row r="74" ht="42" customHeight="1">
      <c r="A74" s="13" t="inlineStr">
        <is>
          <t>4. IMMIGRATION STATUS &amp; HISTORY</t>
        </is>
      </c>
      <c r="B74" s="13" t="inlineStr">
        <is>
          <t>Immigration Law Violations</t>
        </is>
      </c>
      <c r="C74" s="14" t="inlineStr">
        <is>
          <t>Has the Applicant engaged in conduct after admission that is inconsistent with representations made when applying for the visa, admission, or parole — and was failure to depart something that could have been avoided through consular processing? (PM-602-0199 treats this combination as a 'highly relevant' / particularly significant negative factor.)</t>
        </is>
      </c>
      <c r="D74" s="15" t="n"/>
      <c r="E74" s="16" t="inlineStr"/>
      <c r="F74" s="15" t="n"/>
      <c r="G74" s="17" t="inlineStr">
        <is>
          <t>PM-602-0199 (5/21/26)</t>
        </is>
      </c>
    </row>
    <row r="75" ht="42" customHeight="1">
      <c r="A75" s="13" t="inlineStr">
        <is>
          <t>4. IMMIGRATION STATUS &amp; HISTORY</t>
        </is>
      </c>
      <c r="B75" s="13" t="inlineStr">
        <is>
          <t>Immigration Law Violations</t>
        </is>
      </c>
      <c r="C75" s="14" t="inlineStr">
        <is>
          <t>Has the Applicant ever been placed in removal/deportation proceedings, ordered removed, or subject to a final order (executed or unexecuted)?</t>
        </is>
      </c>
      <c r="D75" s="15" t="n"/>
      <c r="E75" s="16" t="inlineStr"/>
      <c r="F75" s="15" t="n"/>
      <c r="G75" s="17" t="inlineStr">
        <is>
          <t>1 USCIS-PM E.8; 7 USCIS-PM A.10</t>
        </is>
      </c>
    </row>
    <row r="76" ht="42" customHeight="1">
      <c r="A76" s="13" t="inlineStr">
        <is>
          <t>4. IMMIGRATION STATUS &amp; HISTORY</t>
        </is>
      </c>
      <c r="B76" s="13" t="inlineStr">
        <is>
          <t>Immigration Law Violations</t>
        </is>
      </c>
      <c r="C76" s="14" t="inlineStr">
        <is>
          <t>Has the Applicant disclosed all prior visa applications, denials, and any other identities/aliases used? Is identity well-established by the record?</t>
        </is>
      </c>
      <c r="D76" s="15" t="n"/>
      <c r="E76" s="16" t="inlineStr"/>
      <c r="F76" s="15" t="n"/>
      <c r="G76" s="17" t="inlineStr">
        <is>
          <t>1 USCIS-PM E.8</t>
        </is>
      </c>
    </row>
    <row r="77" ht="42" customHeight="1">
      <c r="A77" s="13" t="inlineStr">
        <is>
          <t>4. IMMIGRATION STATUS &amp; HISTORY</t>
        </is>
      </c>
      <c r="B77" s="13" t="inlineStr">
        <is>
          <t>Immigration Law Violations</t>
        </is>
      </c>
      <c r="C77" s="14" t="inlineStr">
        <is>
          <t>Has the Applicant obtained, or does the Applicant need, a waiver of any inadmissibility ground tied to the above violations?</t>
        </is>
      </c>
      <c r="D77" s="15" t="n"/>
      <c r="E77" s="16" t="inlineStr"/>
      <c r="F77" s="15" t="n"/>
      <c r="G77" s="17" t="inlineStr">
        <is>
          <t>1 USCIS-PM E.8</t>
        </is>
      </c>
    </row>
    <row r="78" ht="20" customHeight="1">
      <c r="A78" s="10" t="inlineStr">
        <is>
          <t>5. EMPLOYMENT, EDUCATION &amp; FINANCIAL RESPONSIBILITY</t>
        </is>
      </c>
    </row>
    <row r="79" ht="18" customHeight="1">
      <c r="A79" s="11" t="inlineStr">
        <is>
          <t>Employment &amp; Skills</t>
        </is>
      </c>
      <c r="C79" s="12" t="n"/>
      <c r="D79" s="12" t="n"/>
      <c r="E79" s="12" t="n"/>
      <c r="F79" s="12" t="n"/>
      <c r="G79" s="12" t="n"/>
    </row>
    <row r="80" ht="42" customHeight="1">
      <c r="A80" s="13" t="inlineStr">
        <is>
          <t>5. EMPLOYMENT, EDUCATION &amp; FINANCIAL RESPONSIBILITY</t>
        </is>
      </c>
      <c r="B80" s="13" t="inlineStr">
        <is>
          <t>Employment &amp; Skills</t>
        </is>
      </c>
      <c r="C80" s="14" t="inlineStr">
        <is>
          <t>What is the Applicant's current and prior employment? Does the position require specialized skills, or is the occupation in a U.S. labor-shortage field?</t>
        </is>
      </c>
      <c r="D80" s="15" t="n"/>
      <c r="E80" s="16" t="inlineStr"/>
      <c r="F80" s="15" t="n"/>
      <c r="G80" s="17" t="inlineStr">
        <is>
          <t>CILA Discretion Chart</t>
        </is>
      </c>
    </row>
    <row r="81" ht="42" customHeight="1">
      <c r="A81" s="13" t="inlineStr">
        <is>
          <t>5. EMPLOYMENT, EDUCATION &amp; FINANCIAL RESPONSIBILITY</t>
        </is>
      </c>
      <c r="B81" s="13" t="inlineStr">
        <is>
          <t>Employment &amp; Skills</t>
        </is>
      </c>
      <c r="C81" s="14" t="inlineStr">
        <is>
          <t>Does the Applicant have a stable employment history, or significant gaps in employment (and if so, why — layoff, disability, caregiving)?</t>
        </is>
      </c>
      <c r="D81" s="15" t="n"/>
      <c r="E81" s="16" t="inlineStr"/>
      <c r="F81" s="15" t="n"/>
      <c r="G81" s="17" t="inlineStr">
        <is>
          <t>CILA Discretion Chart</t>
        </is>
      </c>
    </row>
    <row r="82" ht="42" customHeight="1">
      <c r="A82" s="13" t="inlineStr">
        <is>
          <t>5. EMPLOYMENT, EDUCATION &amp; FINANCIAL RESPONSIBILITY</t>
        </is>
      </c>
      <c r="B82" s="13" t="inlineStr">
        <is>
          <t>Employment &amp; Skills</t>
        </is>
      </c>
      <c r="C82" s="14" t="inlineStr">
        <is>
          <t>Does the Applicant have an approved labor certification, immigrant petition, or other evidence of economic benefit to the U.S.?</t>
        </is>
      </c>
      <c r="D82" s="15" t="n"/>
      <c r="E82" s="16" t="inlineStr"/>
      <c r="F82" s="15" t="n"/>
      <c r="G82" s="17" t="inlineStr">
        <is>
          <t>CILA Discretion Chart</t>
        </is>
      </c>
    </row>
    <row r="83" ht="18" customHeight="1">
      <c r="A83" s="11" t="inlineStr">
        <is>
          <t>Education</t>
        </is>
      </c>
      <c r="C83" s="12" t="n"/>
      <c r="D83" s="12" t="n"/>
      <c r="E83" s="12" t="n"/>
      <c r="F83" s="12" t="n"/>
      <c r="G83" s="12" t="n"/>
    </row>
    <row r="84" ht="42" customHeight="1">
      <c r="A84" s="13" t="inlineStr">
        <is>
          <t>5. EMPLOYMENT, EDUCATION &amp; FINANCIAL RESPONSIBILITY</t>
        </is>
      </c>
      <c r="B84" s="13" t="inlineStr">
        <is>
          <t>Education</t>
        </is>
      </c>
      <c r="C84" s="14" t="inlineStr">
        <is>
          <t>What is the Applicant's highest level of education completed (U.S. or abroad)? Does it align with a U.S. workforce need?</t>
        </is>
      </c>
      <c r="D84" s="15" t="n"/>
      <c r="E84" s="16" t="inlineStr"/>
      <c r="F84" s="15" t="n"/>
      <c r="G84" s="17" t="inlineStr">
        <is>
          <t>CILA Discretion Chart</t>
        </is>
      </c>
    </row>
    <row r="85" ht="42" customHeight="1">
      <c r="A85" s="13" t="inlineStr">
        <is>
          <t>5. EMPLOYMENT, EDUCATION &amp; FINANCIAL RESPONSIBILITY</t>
        </is>
      </c>
      <c r="B85" s="13" t="inlineStr">
        <is>
          <t>Education</t>
        </is>
      </c>
      <c r="C85" s="14" t="inlineStr">
        <is>
          <t>Has the Applicant pursued additional training, licensure, or certification that benefits the U.S. labor market?</t>
        </is>
      </c>
      <c r="D85" s="15" t="n"/>
      <c r="E85" s="16" t="inlineStr"/>
      <c r="F85" s="15" t="n"/>
      <c r="G85" s="17" t="inlineStr">
        <is>
          <t>CILA Discretion Chart</t>
        </is>
      </c>
    </row>
    <row r="86" ht="18" customHeight="1">
      <c r="A86" s="11" t="inlineStr">
        <is>
          <t>Financial Responsibility &amp; Tax Compliance</t>
        </is>
      </c>
      <c r="C86" s="12" t="n"/>
      <c r="D86" s="12" t="n"/>
      <c r="E86" s="12" t="n"/>
      <c r="F86" s="12" t="n"/>
      <c r="G86" s="12" t="n"/>
    </row>
    <row r="87" ht="42" customHeight="1">
      <c r="A87" s="13" t="inlineStr">
        <is>
          <t>5. EMPLOYMENT, EDUCATION &amp; FINANCIAL RESPONSIBILITY</t>
        </is>
      </c>
      <c r="B87" s="13" t="inlineStr">
        <is>
          <t>Financial Responsibility &amp; Tax Compliance</t>
        </is>
      </c>
      <c r="C87" s="14" t="inlineStr">
        <is>
          <t>Has the Applicant filed and paid all required federal, state, and local taxes?</t>
        </is>
      </c>
      <c r="D87" s="15" t="n"/>
      <c r="E87" s="16" t="inlineStr"/>
      <c r="F87" s="15" t="n"/>
      <c r="G87" s="17" t="inlineStr">
        <is>
          <t>PM-602-0188 (8/15/25); CILA Discretion Chart</t>
        </is>
      </c>
    </row>
    <row r="88" ht="42" customHeight="1">
      <c r="A88" s="13" t="inlineStr">
        <is>
          <t>5. EMPLOYMENT, EDUCATION &amp; FINANCIAL RESPONSIBILITY</t>
        </is>
      </c>
      <c r="B88" s="13" t="inlineStr">
        <is>
          <t>Financial Responsibility &amp; Tax Compliance</t>
        </is>
      </c>
      <c r="C88" s="14" t="inlineStr">
        <is>
          <t>Does the Applicant have significant outstanding debts, judgments, or unpaid obligations (e.g., child support, SSI overpayment)?</t>
        </is>
      </c>
      <c r="D88" s="15" t="n"/>
      <c r="E88" s="16" t="inlineStr"/>
      <c r="F88" s="15" t="n"/>
      <c r="G88" s="17" t="inlineStr">
        <is>
          <t>PM-602-0188 (8/15/25)</t>
        </is>
      </c>
    </row>
    <row r="89" ht="42" customHeight="1">
      <c r="A89" s="13" t="inlineStr">
        <is>
          <t>5. EMPLOYMENT, EDUCATION &amp; FINANCIAL RESPONSIBILITY</t>
        </is>
      </c>
      <c r="B89" s="13" t="inlineStr">
        <is>
          <t>Financial Responsibility &amp; Tax Compliance</t>
        </is>
      </c>
      <c r="C89" s="14" t="inlineStr">
        <is>
          <t>Does the Applicant own property, maintain investments, or have other financial ties to the U.S.?</t>
        </is>
      </c>
      <c r="D89" s="15" t="n"/>
      <c r="E89" s="16" t="inlineStr"/>
      <c r="F89" s="15" t="n"/>
      <c r="G89" s="17" t="inlineStr">
        <is>
          <t>CILA Discretion Chart</t>
        </is>
      </c>
    </row>
    <row r="90" ht="42" customHeight="1">
      <c r="A90" s="13" t="inlineStr">
        <is>
          <t>5. EMPLOYMENT, EDUCATION &amp; FINANCIAL RESPONSIBILITY</t>
        </is>
      </c>
      <c r="B90" s="13" t="inlineStr">
        <is>
          <t>Financial Responsibility &amp; Tax Compliance</t>
        </is>
      </c>
      <c r="C90" s="14" t="inlineStr">
        <is>
          <t>Does the Applicant derive income from any activity that is illegal under federal law (e.g., controlled-substance-related business, even if state-legal; prostitution; illegal gambling)?</t>
        </is>
      </c>
      <c r="D90" s="15" t="n"/>
      <c r="E90" s="16" t="inlineStr"/>
      <c r="F90" s="15" t="n"/>
      <c r="G90" s="17" t="inlineStr">
        <is>
          <t>PM-602-0188 (8/15/25); CILA Discretion Chart</t>
        </is>
      </c>
    </row>
    <row r="91" ht="20" customHeight="1">
      <c r="A91" s="10" t="inlineStr">
        <is>
          <t>6. GOOD MORAL CHARACTER &amp; COMMUNITY STANDING</t>
        </is>
      </c>
    </row>
    <row r="92" ht="18" customHeight="1">
      <c r="A92" s="11" t="inlineStr">
        <is>
          <t>Overall GMC</t>
        </is>
      </c>
      <c r="C92" s="12" t="n"/>
      <c r="D92" s="12" t="n"/>
      <c r="E92" s="12" t="n"/>
      <c r="F92" s="12" t="n"/>
      <c r="G92" s="12" t="n"/>
    </row>
    <row r="93" ht="42" customHeight="1">
      <c r="A93" s="13" t="inlineStr">
        <is>
          <t>6. GOOD MORAL CHARACTER &amp; COMMUNITY STANDING</t>
        </is>
      </c>
      <c r="B93" s="13" t="inlineStr">
        <is>
          <t>Overall GMC</t>
        </is>
      </c>
      <c r="C93" s="14" t="inlineStr">
        <is>
          <t>Considering the totality of the record, is there an absence of significant unfavorable factors, with affirmative evidence of good moral character (GMC)?</t>
        </is>
      </c>
      <c r="D93" s="15" t="n"/>
      <c r="E93" s="16" t="inlineStr"/>
      <c r="F93" s="15" t="n"/>
      <c r="G93" s="17" t="inlineStr">
        <is>
          <t>1 USCIS-PM E.8; PM-602-0188 (8/15/25)</t>
        </is>
      </c>
    </row>
    <row r="94" ht="18" customHeight="1">
      <c r="A94" s="11" t="inlineStr">
        <is>
          <t>Criminal History</t>
        </is>
      </c>
      <c r="C94" s="12" t="n"/>
      <c r="D94" s="12" t="n"/>
      <c r="E94" s="12" t="n"/>
      <c r="F94" s="12" t="n"/>
      <c r="G94" s="12" t="n"/>
    </row>
    <row r="95" ht="42" customHeight="1">
      <c r="A95" s="13" t="inlineStr">
        <is>
          <t>6. GOOD MORAL CHARACTER &amp; COMMUNITY STANDING</t>
        </is>
      </c>
      <c r="B95" s="13" t="inlineStr">
        <is>
          <t>Criminal History</t>
        </is>
      </c>
      <c r="C95" s="14" t="inlineStr">
        <is>
          <t>Does the Applicant have any felony convictions? Any conviction that is a permanent bar to GMC (murder, aggravated felony, torture, genocide, severe violations of religious freedom)?</t>
        </is>
      </c>
      <c r="D95" s="15" t="n"/>
      <c r="E95" s="16" t="inlineStr"/>
      <c r="F95" s="15" t="n"/>
      <c r="G95" s="17" t="inlineStr">
        <is>
          <t>PM-602-0188 (8/15/25)</t>
        </is>
      </c>
    </row>
    <row r="96" ht="42" customHeight="1">
      <c r="A96" s="13" t="inlineStr">
        <is>
          <t>6. GOOD MORAL CHARACTER &amp; COMMUNITY STANDING</t>
        </is>
      </c>
      <c r="B96" s="13" t="inlineStr">
        <is>
          <t>Criminal History</t>
        </is>
      </c>
      <c r="C96" s="14" t="inlineStr">
        <is>
          <t>Does the Applicant have any conditional-bar offenses (controlled substance violations, two or more offenses with aggregate sentence ≥5 years, prostitution-related offenses, etc.)?</t>
        </is>
      </c>
      <c r="D96" s="15" t="n"/>
      <c r="E96" s="16" t="inlineStr"/>
      <c r="F96" s="15" t="n"/>
      <c r="G96" s="17" t="inlineStr">
        <is>
          <t>PM-602-0188 (8/15/25)</t>
        </is>
      </c>
    </row>
    <row r="97" ht="42" customHeight="1">
      <c r="A97" s="13" t="inlineStr">
        <is>
          <t>6. GOOD MORAL CHARACTER &amp; COMMUNITY STANDING</t>
        </is>
      </c>
      <c r="B97" s="13" t="inlineStr">
        <is>
          <t>Criminal History</t>
        </is>
      </c>
      <c r="C97" s="14" t="inlineStr">
        <is>
          <t>Does the Applicant have any crimes involving moral turpitude (CIMTs)?</t>
        </is>
      </c>
      <c r="D97" s="15" t="n"/>
      <c r="E97" s="16" t="inlineStr"/>
      <c r="F97" s="15" t="n"/>
      <c r="G97" s="17" t="inlineStr">
        <is>
          <t>1 USCIS-PM E.8; PM-602-0188 (8/15/25)</t>
        </is>
      </c>
    </row>
    <row r="98" ht="42" customHeight="1">
      <c r="A98" s="13" t="inlineStr">
        <is>
          <t>6. GOOD MORAL CHARACTER &amp; COMMUNITY STANDING</t>
        </is>
      </c>
      <c r="B98" s="13" t="inlineStr">
        <is>
          <t>Criminal History</t>
        </is>
      </c>
      <c r="C98" s="14" t="inlineStr">
        <is>
          <t>Does the Applicant have a DUI/DWI history, or a pattern of reckless or habitual traffic violations?</t>
        </is>
      </c>
      <c r="D98" s="15" t="n"/>
      <c r="E98" s="16" t="inlineStr"/>
      <c r="F98" s="15" t="n"/>
      <c r="G98" s="17" t="inlineStr">
        <is>
          <t>PM-602-0199 (5/21/26); PM-602-0188 (8/15/25)</t>
        </is>
      </c>
    </row>
    <row r="99" ht="42" customHeight="1">
      <c r="A99" s="13" t="inlineStr">
        <is>
          <t>6. GOOD MORAL CHARACTER &amp; COMMUNITY STANDING</t>
        </is>
      </c>
      <c r="B99" s="13" t="inlineStr">
        <is>
          <t>Criminal History</t>
        </is>
      </c>
      <c r="C99" s="14" t="inlineStr">
        <is>
          <t>Does the Applicant have any record of harassment, aggressive solicitation, or intimidating conduct?</t>
        </is>
      </c>
      <c r="D99" s="15" t="n"/>
      <c r="E99" s="16" t="inlineStr"/>
      <c r="F99" s="15" t="n"/>
      <c r="G99" s="17" t="inlineStr">
        <is>
          <t>PM-602-0199 (5/21/26)</t>
        </is>
      </c>
    </row>
    <row r="100" ht="42" customHeight="1">
      <c r="A100" s="13" t="inlineStr">
        <is>
          <t>6. GOOD MORAL CHARACTER &amp; COMMUNITY STANDING</t>
        </is>
      </c>
      <c r="B100" s="13" t="inlineStr">
        <is>
          <t>Criminal History</t>
        </is>
      </c>
      <c r="C100" s="14" t="inlineStr">
        <is>
          <t>Does the Applicant have juvenile delinquency history, and if so, how is it treated under the applicable standard?</t>
        </is>
      </c>
      <c r="D100" s="15" t="n"/>
      <c r="E100" s="16" t="inlineStr"/>
      <c r="F100" s="15" t="n"/>
      <c r="G100" s="17" t="inlineStr">
        <is>
          <t>PM-602-0188 (8/15/25)</t>
        </is>
      </c>
    </row>
    <row r="101" ht="18" customHeight="1">
      <c r="A101" s="11" t="inlineStr">
        <is>
          <t>Anti-American / Extremism-Related Conduct</t>
        </is>
      </c>
      <c r="C101" s="12" t="n"/>
      <c r="D101" s="12" t="n"/>
      <c r="E101" s="12" t="n"/>
      <c r="F101" s="12" t="n"/>
      <c r="G101" s="12" t="n"/>
    </row>
    <row r="102" ht="42" customHeight="1">
      <c r="A102" s="13" t="inlineStr">
        <is>
          <t>6. GOOD MORAL CHARACTER &amp; COMMUNITY STANDING</t>
        </is>
      </c>
      <c r="B102" s="13" t="inlineStr">
        <is>
          <t>Anti-American / Extremism-Related Conduct</t>
        </is>
      </c>
      <c r="C102" s="14" t="inlineStr">
        <is>
          <t>Is there any evidence the Applicant has expressed anti-American or antisemitic views, or supported terrorism or terrorist organizations? (PM-602-0188 treats this as an overwhelmingly negative factor that cannot be outweighed by positive factors.)</t>
        </is>
      </c>
      <c r="D102" s="15" t="n"/>
      <c r="E102" s="16" t="inlineStr"/>
      <c r="F102" s="15" t="n"/>
      <c r="G102" s="17" t="inlineStr">
        <is>
          <t>PM-602-0188 (8/15/25)</t>
        </is>
      </c>
    </row>
    <row r="103" ht="18" customHeight="1">
      <c r="A103" s="11" t="inlineStr">
        <is>
          <t>Rehabilitation &amp; Reformation (Mitigating Evidence)</t>
        </is>
      </c>
      <c r="C103" s="12" t="n"/>
      <c r="D103" s="12" t="n"/>
      <c r="E103" s="12" t="n"/>
      <c r="F103" s="12" t="n"/>
      <c r="G103" s="12" t="n"/>
    </row>
    <row r="104" ht="42" customHeight="1">
      <c r="A104" s="13" t="inlineStr">
        <is>
          <t>6. GOOD MORAL CHARACTER &amp; COMMUNITY STANDING</t>
        </is>
      </c>
      <c r="B104" s="13" t="inlineStr">
        <is>
          <t>Rehabilitation &amp; Reformation (Mitigating Evidence)</t>
        </is>
      </c>
      <c r="C104" s="14" t="inlineStr">
        <is>
          <t>If there is adverse history, has the Applicant demonstrated genuine rehabilitation — e.g., completion of probation/court conditions, payment of overdue child support or taxes, repayment of SSI overpayments?</t>
        </is>
      </c>
      <c r="D104" s="15" t="n"/>
      <c r="E104" s="16" t="inlineStr"/>
      <c r="F104" s="15" t="n"/>
      <c r="G104" s="17" t="inlineStr">
        <is>
          <t>PM-602-0188 (8/15/25)</t>
        </is>
      </c>
    </row>
    <row r="105" ht="42" customHeight="1">
      <c r="A105" s="13" t="inlineStr">
        <is>
          <t>6. GOOD MORAL CHARACTER &amp; COMMUNITY STANDING</t>
        </is>
      </c>
      <c r="B105" s="13" t="inlineStr">
        <is>
          <t>Rehabilitation &amp; Reformation (Mitigating Evidence)</t>
        </is>
      </c>
      <c r="C105" s="14" t="inlineStr">
        <is>
          <t>Has the Applicant obtained community testimony or letters attesting to rehabilitation, good character, and present conduct?</t>
        </is>
      </c>
      <c r="D105" s="15" t="n"/>
      <c r="E105" s="16" t="inlineStr"/>
      <c r="F105" s="15" t="n"/>
      <c r="G105" s="17" t="inlineStr">
        <is>
          <t>PM-602-0188 (8/15/25)</t>
        </is>
      </c>
    </row>
    <row r="106" ht="42" customHeight="1">
      <c r="A106" s="13" t="inlineStr">
        <is>
          <t>6. GOOD MORAL CHARACTER &amp; COMMUNITY STANDING</t>
        </is>
      </c>
      <c r="B106" s="13" t="inlineStr">
        <is>
          <t>Rehabilitation &amp; Reformation (Mitigating Evidence)</t>
        </is>
      </c>
      <c r="C106" s="14" t="inlineStr">
        <is>
          <t>How much time has elapsed since the conduct at issue, and what is the Applicant's record since that time?</t>
        </is>
      </c>
      <c r="D106" s="15" t="n"/>
      <c r="E106" s="16" t="inlineStr"/>
      <c r="F106" s="15" t="n"/>
      <c r="G106" s="17" t="inlineStr">
        <is>
          <t>PM-602-0188 (8/15/25)</t>
        </is>
      </c>
    </row>
    <row r="107" ht="20" customHeight="1">
      <c r="A107" s="10" t="inlineStr">
        <is>
          <t>7. OTHER DISCRETIONARY CONSIDERATIONS</t>
        </is>
      </c>
    </row>
    <row r="108" ht="18" customHeight="1">
      <c r="A108" s="11" t="inlineStr">
        <is>
          <t>Other</t>
        </is>
      </c>
      <c r="C108" s="12" t="n"/>
      <c r="D108" s="12" t="n"/>
      <c r="E108" s="12" t="n"/>
      <c r="F108" s="12" t="n"/>
      <c r="G108" s="12" t="n"/>
    </row>
    <row r="109" ht="42" customHeight="1">
      <c r="A109" s="13" t="inlineStr">
        <is>
          <t>7. OTHER DISCRETIONARY CONSIDERATIONS</t>
        </is>
      </c>
      <c r="B109" s="13" t="inlineStr">
        <is>
          <t>Other</t>
        </is>
      </c>
      <c r="C109" s="14" t="inlineStr">
        <is>
          <t>Are there any national-security, public-safety, or fraud-referral flags in the record (e.g., FDNS referral, prior NOID/RFE on credibility grounds)?</t>
        </is>
      </c>
      <c r="D109" s="15" t="n"/>
      <c r="E109" s="16" t="inlineStr"/>
      <c r="F109" s="15" t="n"/>
      <c r="G109" s="17" t="inlineStr">
        <is>
          <t>7 USCIS-PM A.10</t>
        </is>
      </c>
    </row>
    <row r="110" ht="42" customHeight="1">
      <c r="A110" s="13" t="inlineStr">
        <is>
          <t>7. OTHER DISCRETIONARY CONSIDERATIONS</t>
        </is>
      </c>
      <c r="B110" s="13" t="inlineStr">
        <is>
          <t>Other</t>
        </is>
      </c>
      <c r="C110" s="14" t="inlineStr">
        <is>
          <t>Has the Applicant previously been denied AOS, had a prior petition revoked, or received an RFE/NOID raising discretionary concerns? How were those addressed?</t>
        </is>
      </c>
      <c r="D110" s="15" t="n"/>
      <c r="E110" s="16" t="inlineStr"/>
      <c r="F110" s="15" t="n"/>
      <c r="G110" s="17" t="inlineStr">
        <is>
          <t>7 USCIS-PM A.10</t>
        </is>
      </c>
    </row>
    <row r="111" ht="42" customHeight="1">
      <c r="A111" s="13" t="inlineStr">
        <is>
          <t>7. OTHER DISCRETIONARY CONSIDERATIONS</t>
        </is>
      </c>
      <c r="B111" s="13" t="inlineStr">
        <is>
          <t>Other</t>
        </is>
      </c>
      <c r="C111" s="14" t="inlineStr">
        <is>
          <t>Are there any other extraordinary equities not captured above (e.g., long-term tax-paying resident, U.S. military family ties, significant medical caregiving, etc.)?</t>
        </is>
      </c>
      <c r="D111" s="15" t="n"/>
      <c r="E111" s="16" t="inlineStr"/>
      <c r="F111" s="15" t="n"/>
      <c r="G111" s="17" t="inlineStr">
        <is>
          <t>CILA Discretion Chart</t>
        </is>
      </c>
    </row>
    <row r="112" ht="42" customHeight="1">
      <c r="A112" s="13" t="inlineStr">
        <is>
          <t>7. OTHER DISCRETIONARY CONSIDERATIONS</t>
        </is>
      </c>
      <c r="B112" s="13" t="inlineStr">
        <is>
          <t>Other</t>
        </is>
      </c>
      <c r="C112" s="14" t="inlineStr">
        <is>
          <t>Overall, does the totality of the circumstances — weighing all positive and negative factors above — establish, by a preponderance of the evidence, that a favorable exercise of discretion is warranted?</t>
        </is>
      </c>
      <c r="D112" s="15" t="n"/>
      <c r="E112" s="16" t="inlineStr"/>
      <c r="F112" s="15" t="n"/>
      <c r="G112" s="17" t="inlineStr">
        <is>
          <t>PM-602-0199 (5/21/26); 1 USCIS-PM E.8</t>
        </is>
      </c>
    </row>
  </sheetData>
  <mergeCells count="36">
    <mergeCell ref="A48:B48"/>
    <mergeCell ref="A92:B92"/>
    <mergeCell ref="A64:B64"/>
    <mergeCell ref="A60:B60"/>
    <mergeCell ref="B8:D8"/>
    <mergeCell ref="A91:G91"/>
    <mergeCell ref="A103:B103"/>
    <mergeCell ref="A20:G20"/>
    <mergeCell ref="A36:B36"/>
    <mergeCell ref="A94:B94"/>
    <mergeCell ref="A79:B79"/>
    <mergeCell ref="A41:B41"/>
    <mergeCell ref="A108:B108"/>
    <mergeCell ref="B9:D9"/>
    <mergeCell ref="A30:G30"/>
    <mergeCell ref="A11:G11"/>
    <mergeCell ref="B6:D6"/>
    <mergeCell ref="A107:G107"/>
    <mergeCell ref="B15:G17"/>
    <mergeCell ref="A26:B26"/>
    <mergeCell ref="A21:B21"/>
    <mergeCell ref="B5:D5"/>
    <mergeCell ref="A1:G1"/>
    <mergeCell ref="A86:B86"/>
    <mergeCell ref="A101:B101"/>
    <mergeCell ref="A57:B57"/>
    <mergeCell ref="B4:D4"/>
    <mergeCell ref="A78:G78"/>
    <mergeCell ref="B7:D7"/>
    <mergeCell ref="A53:B53"/>
    <mergeCell ref="A56:G56"/>
    <mergeCell ref="A68:B68"/>
    <mergeCell ref="A2:G2"/>
    <mergeCell ref="A31:B31"/>
    <mergeCell ref="A47:G47"/>
    <mergeCell ref="A83:B83"/>
  </mergeCells>
  <conditionalFormatting sqref="E20:E112">
    <cfRule type="cellIs" priority="1" operator="equal" dxfId="0">
      <formula>"Positive"</formula>
    </cfRule>
    <cfRule type="cellIs" priority="2" operator="equal" dxfId="1">
      <formula>"Negative"</formula>
    </cfRule>
    <cfRule type="cellIs" priority="3" operator="equal" dxfId="2">
      <formula>"Neutral"</formula>
    </cfRule>
    <cfRule type="cellIs" priority="4" operator="equal" dxfId="2">
      <formula>"N/A"</formula>
    </cfRule>
  </conditionalFormatting>
  <dataValidations count="1">
    <dataValidation sqref="E20:E112" showDropDown="0" showInputMessage="0" showErrorMessage="0" allowBlank="1" type="list">
      <formula1>"Positive,Negative,Neutral,N/A"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6"/>
  <sheetViews>
    <sheetView workbookViewId="0">
      <pane ySplit="22" topLeftCell="A23" activePane="bottomLeft" state="frozen"/>
      <selection pane="bottomLeft" activeCell="A1" sqref="A1"/>
    </sheetView>
  </sheetViews>
  <sheetFormatPr baseColWidth="8" defaultRowHeight="15"/>
  <cols>
    <col width="24" customWidth="1" min="1" max="1"/>
    <col width="28" customWidth="1" min="2" max="2"/>
    <col width="24" customWidth="1" min="3" max="3"/>
    <col width="38" customWidth="1" min="4" max="4"/>
    <col width="30" customWidth="1" min="5" max="5"/>
    <col width="26" customWidth="1" min="6" max="6"/>
    <col width="22" customWidth="1" min="7" max="7"/>
    <col width="13" customWidth="1" min="8" max="8"/>
    <col width="34" customWidth="1" min="9" max="9"/>
    <col width="60" customWidth="1" min="10" max="10"/>
  </cols>
  <sheetData>
    <row r="1" ht="22" customHeight="1">
      <c r="A1" s="1" t="inlineStr">
        <is>
          <t>AOS DISCRETIONARY FACTORS — BRIEF DEVELOPMENT MATRIX</t>
        </is>
      </c>
    </row>
    <row r="2" ht="46" customHeight="1">
      <c r="A2" s="2" t="inlineStr">
        <is>
          <t>Layer 2 of the assessment tool. Use AFTER completing the '1. Case Intake' tab. Column D (Legal Proposition) feeds the brief's Legal Standard section verbatim — cite it, don't paraphrase it. Column J (Draft) feeds the Analysis section. Set Weight in column H to generate the Balancing Dashboard and to control what appears in the generated brief.</t>
        </is>
      </c>
    </row>
    <row r="4" ht="20" customHeight="1">
      <c r="A4" s="5" t="inlineStr">
        <is>
          <t>CASE THEME (set this FIRST — it drives how every factor below is framed)</t>
        </is>
      </c>
    </row>
    <row r="5" ht="30" customHeight="1">
      <c r="A5" s="6" t="inlineStr">
        <is>
          <t>One-sentence theme:</t>
        </is>
      </c>
      <c r="B5" s="8" t="n"/>
    </row>
    <row r="6" ht="30" customHeight="1">
      <c r="A6" s="21" t="inlineStr">
        <is>
          <t>Theme examples:</t>
        </is>
      </c>
      <c r="B6" s="22" t="inlineStr">
        <is>
          <t>• Longtime caregiving parent/spouse seeking family unity   • Productive, tax-paying resident with one forgivable lapse   • Lawful entrant whose circumstances changed after admission, now seeking the family-based benefit Congress contemplated   • Rehabilitated individual with deep community ties and no recent adverse conduct</t>
        </is>
      </c>
    </row>
    <row r="8" ht="20" customHeight="1">
      <c r="A8" s="5" t="inlineStr">
        <is>
          <t>BALANCING DASHBOARD</t>
        </is>
      </c>
    </row>
    <row r="9">
      <c r="A9" s="6" t="inlineStr">
        <is>
          <t>Positive Equities — Strong:</t>
        </is>
      </c>
      <c r="B9" s="23">
        <f>COUNTIF(H30:H71,"Strong")</f>
        <v/>
      </c>
    </row>
    <row r="10">
      <c r="A10" s="6" t="inlineStr">
        <is>
          <t>Positive Equities — Moderate:</t>
        </is>
      </c>
      <c r="B10" s="23">
        <f>COUNTIF(H30:H71,"Moderate")</f>
        <v/>
      </c>
    </row>
    <row r="11">
      <c r="A11" s="6" t="inlineStr">
        <is>
          <t>Positive Equities — Limited:</t>
        </is>
      </c>
      <c r="B11" s="23">
        <f>COUNTIF(H30:H71,"Limited")</f>
        <v/>
      </c>
    </row>
    <row r="12">
      <c r="A12" s="6" t="inlineStr">
        <is>
          <t>Adverse Factors — Strong:</t>
        </is>
      </c>
      <c r="B12" s="23">
        <f>COUNTIF(H73:H86,"Strong")</f>
        <v/>
      </c>
    </row>
    <row r="13">
      <c r="A13" s="6" t="inlineStr">
        <is>
          <t>Adverse Factors — Moderate:</t>
        </is>
      </c>
      <c r="B13" s="23">
        <f>COUNTIF(H73:H86,"Moderate")</f>
        <v/>
      </c>
    </row>
    <row r="14">
      <c r="A14" s="6" t="inlineStr">
        <is>
          <t>Adverse Factors — Limited:</t>
        </is>
      </c>
      <c r="B14" s="23">
        <f>COUNTIF(H73:H86,"Limited")</f>
        <v/>
      </c>
    </row>
    <row r="16" ht="18" customHeight="1">
      <c r="A16" s="6" t="inlineStr">
        <is>
          <t>Why positives outweigh negatives (narrative):</t>
        </is>
      </c>
      <c r="B16" s="8" t="n"/>
    </row>
    <row r="17" ht="18" customHeight="1"/>
    <row r="18" ht="18" customHeight="1"/>
    <row r="19" ht="18" customHeight="1">
      <c r="A19" s="6" t="inlineStr">
        <is>
          <t>Recommended discretion conclusion:</t>
        </is>
      </c>
      <c r="B19" s="8" t="n"/>
    </row>
    <row r="20" ht="18" customHeight="1"/>
    <row r="22" ht="34" customHeight="1">
      <c r="A22" s="9" t="inlineStr">
        <is>
          <t>Category</t>
        </is>
      </c>
      <c r="B22" s="9" t="inlineStr">
        <is>
          <t>Factor / Issue</t>
        </is>
      </c>
      <c r="C22" s="9" t="inlineStr">
        <is>
          <t>Authority</t>
        </is>
      </c>
      <c r="D22" s="9" t="inlineStr">
        <is>
          <t>Legal Proposition</t>
        </is>
      </c>
      <c r="E22" s="9" t="inlineStr">
        <is>
          <t>Equity Proven / Government's Core Argument</t>
        </is>
      </c>
      <c r="F22" s="9" t="inlineStr">
        <is>
          <t>Case Facts (from Tab 1 Intake)</t>
        </is>
      </c>
      <c r="G22" s="9" t="inlineStr">
        <is>
          <t>Evidence to Cite</t>
        </is>
      </c>
      <c r="H22" s="9" t="inlineStr">
        <is>
          <t>Weight</t>
        </is>
      </c>
      <c r="I22" s="9" t="inlineStr">
        <is>
          <t>Government Counterargument / Our Rebuttal</t>
        </is>
      </c>
      <c r="J22" s="9" t="inlineStr">
        <is>
          <t>Draft Brief Paragraph</t>
        </is>
      </c>
    </row>
    <row r="23" ht="20" customHeight="1">
      <c r="A23" s="10" t="inlineStr">
        <is>
          <t>THRESHOLD — STATUTORY ELIGIBILITY (not discretion)</t>
        </is>
      </c>
    </row>
    <row r="24" ht="110" customHeight="1">
      <c r="A24" s="13" t="inlineStr">
        <is>
          <t>THRESHOLD — STATUTORY ELIGIBILITY</t>
        </is>
      </c>
      <c r="B24" s="19" t="inlineStr">
        <is>
          <t>Statutory eligibility for AOS</t>
        </is>
      </c>
      <c r="C24" s="14" t="inlineStr">
        <is>
          <t>INA §245(a); INA §245(c); 8 CFR Part 245</t>
        </is>
      </c>
      <c r="D24" s="24" t="inlineStr">
        <is>
          <t>Under INA §245(a), "[t]he status of an alien who was inspected and admitted or paroled into the United States . . . may be adjusted by the Attorney General, in his discretion," to lawful permanent resident status, if the alien: (1) applies; (2) "is eligible to receive an immigrant visa and is admissible to the United States for permanent residence"; and (3) "an immigrant visa is immediately available . . . at the time his application is filed." INA §245(a).</t>
        </is>
      </c>
      <c r="E24" s="14" t="inlineStr">
        <is>
          <t>Prerequisite, not a discretionary equity — confirms Applicant is legally eligible to adjust (inspection/admission, visa availability, admissibility).</t>
        </is>
      </c>
      <c r="F24" s="15" t="inlineStr"/>
      <c r="G24" s="14" t="inlineStr">
        <is>
          <t>I-94, passport/visa, approved I-130/I-140/I-589, current Visa Bulletin chart, admissibility analysis / waiver if needed.</t>
        </is>
      </c>
      <c r="H24" s="16" t="inlineStr"/>
      <c r="I24" s="14" t="inlineStr">
        <is>
          <t>Government may argue Applicant is statutorily barred or inadmissible → Address in eligibility section of the I-485 cover letter, not here; resolve any bar via waiver before reaching discretion.</t>
        </is>
      </c>
      <c r="J24" s="14" t="inlineStr">
        <is>
          <t>[This factor establishes jurisdiction and eligibility only and is addressed in the Statement of Eligibility section of the brief, not in the discretionary-balancing argument. No draft paragraph needed here.]</t>
        </is>
      </c>
    </row>
    <row r="25" ht="20" customHeight="1">
      <c r="A25" s="10" t="inlineStr">
        <is>
          <t>WHY AOS INSTEAD OF CONSULAR PROCESSING (PM-602-0199 focus)</t>
        </is>
      </c>
    </row>
    <row r="26" ht="110" customHeight="1">
      <c r="A26" s="13" t="inlineStr">
        <is>
          <t>WHY AOS INSTEAD OF CONSULAR PROCESSING</t>
        </is>
      </c>
      <c r="B26" s="19" t="inlineStr">
        <is>
          <t>Changed circumstances after lawful entry</t>
        </is>
      </c>
      <c r="C26" s="14" t="inlineStr">
        <is>
          <t>PM-602-0199; 7 USCIS-PM A.10</t>
        </is>
      </c>
      <c r="D26" s="24" t="inlineStr">
        <is>
          <t>Adjustment of status serves applicants who develop grounds for immigration benefits after lawful admission; good-faith development of family or employment ties after entry is a favorable circumstance in the discretionary analysis. INA §245(a); 1 USCIS-PM E.8.</t>
        </is>
      </c>
      <c r="E26" s="14" t="inlineStr">
        <is>
          <t>Equity Proven: The decision to seek AOS reflects a good-faith response to circumstances arising AFTER lawful admission — not an attempt to circumvent the consular process.</t>
        </is>
      </c>
      <c r="F26" s="15" t="inlineStr"/>
      <c r="G26" s="14" t="inlineStr">
        <is>
          <t>Marriage certificate / birth certificate of USC child / approved employer petition / dated correspondence showing when circumstances changed.</t>
        </is>
      </c>
      <c r="H26" s="16" t="inlineStr"/>
      <c r="I26" s="14" t="inlineStr">
        <is>
          <t>Government argument: Applicant always intended to remain and adjust, regardless of visa category. Our rebuttal: the specific timeline shows [event] occurred after admission and is what now supports AOS — consistent with the visa category's terms at the time of entry.</t>
        </is>
      </c>
      <c r="J26" s="14" t="inlineStr">
        <is>
          <t>The Applicant respectfully submits that adjustment of status — rather than consular processing — is appropriate because [describe the post-admission change: marriage to a U.S. citizen on [date]/birth of U.S. citizen child on [date]/approval of employer petition on [date]]. This change in circumstances arose after the Applicant's lawful admission and reflects the kind of good-faith development of family or employment ties that adjustment of status is designed to accommodate.</t>
        </is>
      </c>
    </row>
    <row r="27" ht="110" customHeight="1">
      <c r="A27" s="13" t="inlineStr">
        <is>
          <t>WHY AOS INSTEAD OF CONSULAR PROCESSING</t>
        </is>
      </c>
      <c r="B27" s="19" t="inlineStr">
        <is>
          <t>Practical impracticality or unavailability of consular processing</t>
        </is>
      </c>
      <c r="C27" s="14" t="inlineStr">
        <is>
          <t>PM-602-0199; Presidential Proclamation 10949 (6/4/2025)</t>
        </is>
      </c>
      <c r="D27" s="24" t="inlineStr">
        <is>
          <t>USCIS considers all "relevant, specific facts and circumstances in an individual case" in the discretionary analysis, with no exhaustive list of factors; the analysis "must be comprehensive, specific to the case, and based on all relevant facts known at the time of adjudication." 1 USCIS-PM E.8(B)(1).</t>
        </is>
      </c>
      <c r="E27" s="14" t="inlineStr">
        <is>
          <t>Equity Proven: AOS serves efficiency and fairness where consular processing is unsafe, effectively unavailable, or subject to extraordinary delay.</t>
        </is>
      </c>
      <c r="F27" s="15" t="inlineStr"/>
      <c r="G27" s="14" t="inlineStr">
        <is>
          <t>Country-conditions reports (DOS), Proclamation 10949 list (if applicable), consular post processing-time data, evidence of post closures or backlogs.</t>
        </is>
      </c>
      <c r="H27" s="16" t="inlineStr"/>
      <c r="I27" s="14" t="inlineStr">
        <is>
          <t>Government argument: Consular processing is, in theory, always an available alternative. Our rebuttal: the practical realities — [safety concerns / Proclamation 10949 listing / processing delays at Post X] — make CP a meaningfully different (and substantially worse) path for this Applicant, not a comparably available option.</t>
        </is>
      </c>
      <c r="J27" s="14" t="inlineStr">
        <is>
          <t>Although consular processing remains theoretically available, it is not a practical or comparably reasonable alternative for the Applicant given [country conditions in [country] / the inclusion of [country] on the list of countries subject to Presidential Proclamation 10949 (June 4, 2025) / current processing delays at the U.S. Embassy/Consulate in [city]]. Adjustment of status therefore serves the interests of both the Applicant and the efficient administration of the immigration laws.</t>
        </is>
      </c>
    </row>
    <row r="28" ht="110" customHeight="1">
      <c r="A28" s="13" t="inlineStr">
        <is>
          <t>WHY AOS INSTEAD OF CONSULAR PROCESSING</t>
        </is>
      </c>
      <c r="B28" s="19" t="inlineStr">
        <is>
          <t>Family unity through AOS</t>
        </is>
      </c>
      <c r="C28" s="14" t="inlineStr">
        <is>
          <t>PM-602-0199; INA §201(b)(2)(A)(i)</t>
        </is>
      </c>
      <c r="D28" s="24" t="inlineStr">
        <is>
          <t>Congress established that immediate relatives of U.S. citizens are exempt from numerical limitations and "are not subject to the numerical limitations" of the INA's preference system, reflecting a Congressional priority for preserving family unity. INA §201(b)(2)(A)(i); 8 U.S.C. §1151(b)(2)(A)(i).</t>
        </is>
      </c>
      <c r="E28" s="14" t="inlineStr">
        <is>
          <t>Equity Proven: Adjustment avoids unnecessary separation of the family unit during the consular-processing period.</t>
        </is>
      </c>
      <c r="F28" s="15" t="inlineStr"/>
      <c r="G28" s="14" t="inlineStr">
        <is>
          <t>Evidence of cohabitation, lease/mortgage in joint names, joint tax returns, school enrollment records for children.</t>
        </is>
      </c>
      <c r="H28" s="16" t="inlineStr"/>
      <c r="I28" s="14" t="inlineStr">
        <is>
          <t>Government argument: Temporary separation during CP is common and not, by itself, extraordinary. Our rebuttal: the specific facts here — [caregiving responsibilities / medical needs / minor children] — make this separation unusually disruptive, not merely routine inconvenience.</t>
        </is>
      </c>
      <c r="J28" s="14" t="inlineStr">
        <is>
          <t>Requiring the Applicant to depart the United States for consular processing — even temporarily — would separate the Applicant from [spouse/children/other qualifying relatives] during a period when [describe why separation would be unusually harmful]. Adjustment of status avoids this unnecessary disruption to the family unit.</t>
        </is>
      </c>
    </row>
    <row r="29" ht="20" customHeight="1">
      <c r="A29" s="25" t="inlineStr">
        <is>
          <t>FAMILY UNITY EQUITIES (Positive)</t>
        </is>
      </c>
    </row>
    <row r="30" ht="110" customHeight="1">
      <c r="A30" s="13" t="inlineStr">
        <is>
          <t>FAMILY UNITY EQUITIES</t>
        </is>
      </c>
      <c r="B30" s="19" t="inlineStr">
        <is>
          <t>U.S. citizen or LPR spouse</t>
        </is>
      </c>
      <c r="C30" s="14" t="inlineStr">
        <is>
          <t>Matter of Arai, 13 I&amp;N Dec. 494 (BIA 1970); 1 USCIS-PM E.8</t>
        </is>
      </c>
      <c r="D30" s="24" t="inlineStr">
        <is>
          <t>Family ties in the United States — "the applicant or beneficiary's ties to family members in the United States and the closeness of the underlying relationships" — are a recognized favorable discretionary factor. 1 USCIS-PM E.8(C)(2); Matter of Arai, 13 I&amp;N Dec. 494, 496 (BIA 1970) ("In the absence of adverse factors, adjustment will ordinarily be granted, still as a matter of discretion.").</t>
        </is>
      </c>
      <c r="E30" s="14" t="inlineStr">
        <is>
          <t>Equity Proven: Family unity — a core positive discretionary factor.</t>
        </is>
      </c>
      <c r="F30" s="15" t="inlineStr"/>
      <c r="G30" s="14" t="inlineStr">
        <is>
          <t>Marriage certificate, joint lease/mortgage, joint bank accounts, joint tax returns, photos, affidavits.</t>
        </is>
      </c>
      <c r="H30" s="16" t="inlineStr"/>
      <c r="I30" s="14" t="inlineStr">
        <is>
          <t>Government may note marriage alone does not guarantee approval. Our rebuttal: combined with [other equities], the marriage reflects a bona fide, established family unit warranting family-unity consideration.</t>
        </is>
      </c>
      <c r="J30" s="14" t="inlineStr">
        <is>
          <t>The Applicant has been married to [spouse name], a United States citizen/lawful permanent resident, since [date]. Matter of Arai, 13 I&amp;N Dec. 494 (BIA 1970), recognizes family relationships as an important positive discretionary factor. The couple [resides together at —/ shares joint finances —/ has built a life together in the United States], reflecting a substantial family-unity interest that favors a favorable exercise of discretion.</t>
        </is>
      </c>
    </row>
    <row r="31" ht="110" customHeight="1">
      <c r="A31" s="13" t="inlineStr">
        <is>
          <t>FAMILY UNITY EQUITIES</t>
        </is>
      </c>
      <c r="B31" s="19" t="inlineStr">
        <is>
          <t>U.S. citizen or LPR children</t>
        </is>
      </c>
      <c r="C31" s="14" t="inlineStr">
        <is>
          <t>Matter of Arai, 13 I&amp;N Dec. 494 (BIA 1970); 1 USCIS-PM E.8</t>
        </is>
      </c>
      <c r="D31" s="24" t="inlineStr">
        <is>
          <t>Family ties in the United States — "the applicant or beneficiary's ties to family members in the United States and the closeness of the underlying relationships" — are a recognized favorable discretionary factor. 1 USCIS-PM E.8(C)(2); Matter of Arai, 13 I&amp;N Dec. 494, 496 (BIA 1970) ("In the absence of adverse factors, adjustment will ordinarily be granted, still as a matter of discretion.").</t>
        </is>
      </c>
      <c r="E31" s="14" t="inlineStr">
        <is>
          <t>Equity Proven: Protection of dependent family members and family unity.</t>
        </is>
      </c>
      <c r="F31" s="15" t="inlineStr"/>
      <c r="G31" s="14" t="inlineStr">
        <is>
          <t>Birth certificates, school records, medical records, custody/support documentation.</t>
        </is>
      </c>
      <c r="H31" s="16" t="inlineStr"/>
      <c r="I31" s="14" t="inlineStr">
        <is>
          <t>Government may argue children can relocate or remain with the other parent. Our rebuttal: [describe specific reasons relocation/separation would harm the children — schooling, medical needs, sole caregiver status].</t>
        </is>
      </c>
      <c r="J31" s="14" t="inlineStr">
        <is>
          <t>The Applicant is the parent of [child name(s)], age(s) [ages], who are United States citizens. The Applicant [resides with / provides daily care and financial support for] the child(ren). Family relationships of this kind are accorded significant weight in the discretionary analysis. See Matter of Arai, 13 I&amp;N Dec. 494 (BIA 1970); 1 USCIS-PM E.8(C)(2).</t>
        </is>
      </c>
    </row>
    <row r="32" ht="110" customHeight="1">
      <c r="A32" s="13" t="inlineStr">
        <is>
          <t>FAMILY UNITY EQUITIES</t>
        </is>
      </c>
      <c r="B32" s="19" t="inlineStr">
        <is>
          <t>U.S. citizen or LPR parents</t>
        </is>
      </c>
      <c r="C32" s="14" t="inlineStr">
        <is>
          <t>Matter of Arai, 13 I&amp;N Dec. 494 (BIA 1970); 1 USCIS-PM E.8</t>
        </is>
      </c>
      <c r="D32" s="24" t="inlineStr">
        <is>
          <t>Family ties in the United States — "the applicant or beneficiary's ties to family members in the United States and the closeness of the underlying relationships" — are a recognized favorable discretionary factor. 1 USCIS-PM E.8(C)(2); Matter of Arai, 13 I&amp;N Dec. 494, 496 (BIA 1970) ("In the absence of adverse factors, adjustment will ordinarily be granted, still as a matter of discretion.").</t>
        </is>
      </c>
      <c r="E32" s="14" t="inlineStr">
        <is>
          <t>Equity Proven: Family support network / multigenerational family unity.</t>
        </is>
      </c>
      <c r="F32" s="15" t="inlineStr"/>
      <c r="G32" s="14" t="inlineStr">
        <is>
          <t>Birth certificates establishing relationship, evidence of shared household or regular contact, evidence of support provided to or received from parent.</t>
        </is>
      </c>
      <c r="H32" s="16" t="inlineStr"/>
      <c r="I32" s="14" t="inlineStr">
        <is>
          <t>Government may treat adult-child/parent ties as lower-weight than spouse/minor-child ties. Our rebuttal: [describe dependency — caregiving, cohabitation, financial interdependence] that elevates the significance of this relationship.</t>
        </is>
      </c>
      <c r="J32" s="14" t="inlineStr">
        <is>
          <t>The Applicant's [mother/father], [name], is a United States citizen/lawful permanent resident residing in [city, state]. The Applicant [provides regular care and support to / resides with] [his/her] [parent], who [describe any age, health, or dependency factors]. This relationship represents an additional family tie supporting a favorable exercise of discretion.</t>
        </is>
      </c>
    </row>
    <row r="33" ht="110" customHeight="1">
      <c r="A33" s="13" t="inlineStr">
        <is>
          <t>FAMILY UNITY EQUITIES</t>
        </is>
      </c>
      <c r="B33" s="19" t="inlineStr">
        <is>
          <t>Cohabitation and depth of family ties</t>
        </is>
      </c>
      <c r="C33" s="14" t="inlineStr">
        <is>
          <t>Matter of Arai, 13 I&amp;N Dec. 494 (BIA 1970); Matter of Mendez-Morales, 21 I&amp;N Dec. 296 (BIA 1996)</t>
        </is>
      </c>
      <c r="D33" s="24" t="inlineStr">
        <is>
          <t>"[T]he quality of their relationship must be considered in determining the weight to be awarded this equity." Matter of Mendez-Morales, 21 I&amp;N Dec. 296, 302 (BIA 1996); 1 USCIS-PM E.8(C)(2).</t>
        </is>
      </c>
      <c r="E33" s="14" t="inlineStr">
        <is>
          <t>Equity Proven: Depth and duration of family ties — distinguishes a genuine, integrated family unit from a nominal relationship.</t>
        </is>
      </c>
      <c r="F33" s="15" t="inlineStr"/>
      <c r="G33" s="14" t="inlineStr">
        <is>
          <t>Lease/deed showing shared address over time, utility bills, joint insurance policies, photographs spanning the relationship, affidavits from family/friends.</t>
        </is>
      </c>
      <c r="H33" s="16" t="inlineStr"/>
      <c r="I33" s="14" t="inlineStr">
        <is>
          <t>Government may discount ties as routine. Our rebuttal: the duration ([X years]) and the breadth of shared documentation establish an unusually well-documented, longstanding family unit.</t>
        </is>
      </c>
      <c r="J33" s="14" t="inlineStr">
        <is>
          <t>The Applicant has shared a household with [family member(s)] at [address] since [date], a period of [duration]. Matter of Mendez-Morales requires consideration of the quality of the relationship in determining the weight to be awarded this equity. The consistency and duration of this shared life — reflected in [joint leases, utility accounts, financial records] — demonstrates the depth of the Applicant's family ties in the United States.</t>
        </is>
      </c>
    </row>
    <row r="34" ht="110" customHeight="1">
      <c r="A34" s="13" t="inlineStr">
        <is>
          <t>FAMILY UNITY EQUITIES</t>
        </is>
      </c>
      <c r="B34" s="19" t="inlineStr">
        <is>
          <t>Emotional interdependence / reliance</t>
        </is>
      </c>
      <c r="C34" s="14" t="inlineStr">
        <is>
          <t>Matter of Arai, 13 I&amp;N Dec. 494 (BIA 1970); 1 USCIS-PM E.8</t>
        </is>
      </c>
      <c r="D34" s="24" t="inlineStr">
        <is>
          <t>"[T]he quality of their relationship must be considered in determining the weight to be awarded this equity." Matter of Mendez-Morales, 21 I&amp;N Dec. 296, 302 (BIA 1996); 1 USCIS-PM E.8(C)(2).</t>
        </is>
      </c>
      <c r="E34" s="14" t="inlineStr">
        <is>
          <t>Equity Proven: Substantial, demonstrable reliance between the Applicant and U.S. family members — elevates ordinary family ties to a significant equity.</t>
        </is>
      </c>
      <c r="F34" s="15" t="inlineStr"/>
      <c r="G34" s="14" t="inlineStr">
        <is>
          <t>Affidavits from family members describing day-to-day reliance; therapist/counselor letters if applicable; evidence of role in family decision-making, childcare, or eldercare.</t>
        </is>
      </c>
      <c r="H34" s="16" t="inlineStr"/>
      <c r="I34" s="14" t="inlineStr">
        <is>
          <t>Government may view emotional-hardship claims as generic/speculative. Our rebuttal: the affidavits and records here describe specific, ongoing reliance — not generalized hardship — e.g., [describe specific role].</t>
        </is>
      </c>
      <c r="J34" s="14" t="inlineStr">
        <is>
          <t>Beyond the formal family relationship, the record reflects substantial emotional and practical interdependence between the Applicant and [family member(s)]: [describe specific facts — e.g., the Applicant is the primary source of emotional support for a U.S. citizen child following [event], or provides daily assistance to an elderly parent]. This degree of reliance distinguishes the Applicant's family ties from the ordinary case and weighs strongly in favor of approval.</t>
        </is>
      </c>
    </row>
    <row r="35" ht="20" customHeight="1">
      <c r="A35" s="25" t="inlineStr">
        <is>
          <t>HARDSHIP EQUITIES — to U.S. family if Applicant must depart (Positive)</t>
        </is>
      </c>
    </row>
    <row r="36" ht="110" customHeight="1">
      <c r="A36" s="13" t="inlineStr">
        <is>
          <t>HARDSHIP EQUITIES — to U.S. family if Applicant must depart</t>
        </is>
      </c>
      <c r="B36" s="19" t="inlineStr">
        <is>
          <t>Financial hardship to U.S. family</t>
        </is>
      </c>
      <c r="C36" s="14" t="inlineStr">
        <is>
          <t>1 USCIS-PM E.8; Matter of Arai, 13 I&amp;N Dec. 494 (BIA 1970)</t>
        </is>
      </c>
      <c r="D36" s="24" t="inlineStr">
        <is>
          <t>"Hardship due to an adverse decision" to U.S. family members is a recognized favorable discretionary factor; the degree of hardship and its specific impact on qualifying relatives must be assessed. 1 USCIS-PM E.8(C)(2); Matter of Marin, 16 I&amp;N Dec. 581, 585 (BIA 1978).</t>
        </is>
      </c>
      <c r="E36" s="14" t="inlineStr">
        <is>
          <t>Equity Proven: Economic dependence of U.S. family members on the Applicant.</t>
        </is>
      </c>
      <c r="F36" s="15" t="inlineStr"/>
      <c r="G36" s="14" t="inlineStr">
        <is>
          <t>Pay stubs, tax returns, household budget/expenses, evidence dependents have no other means of support.</t>
        </is>
      </c>
      <c r="H36" s="16" t="inlineStr"/>
      <c r="I36" s="14" t="inlineStr">
        <is>
          <t>Government may note financial hardship is common in immigration cases. Our rebuttal: the specific numbers here show [percentage] of household income depends on the Applicant, with no realistic substitute income source.</t>
        </is>
      </c>
      <c r="J36" s="14" t="inlineStr">
        <is>
          <t>The Applicant provides [percentage or description] of the household's financial support for [spouse/children/other dependents]. If the Applicant were required to depart the United States, even temporarily, [dependents] would face the loss of [rent/mortgage payments, healthcare coverage, etc.], with no comparable alternative source of support.</t>
        </is>
      </c>
    </row>
    <row r="37" ht="110" customHeight="1">
      <c r="A37" s="13" t="inlineStr">
        <is>
          <t>HARDSHIP EQUITIES — to U.S. family if Applicant must depart</t>
        </is>
      </c>
      <c r="B37" s="19" t="inlineStr">
        <is>
          <t>Medical hardship to U.S. family member</t>
        </is>
      </c>
      <c r="C37" s="14" t="inlineStr">
        <is>
          <t>1 USCIS-PM E.8</t>
        </is>
      </c>
      <c r="D37" s="24" t="inlineStr">
        <is>
          <t>"Hardship due to an adverse decision" to U.S. family members is a recognized favorable discretionary factor; the degree of hardship and its specific impact on qualifying relatives must be assessed. 1 USCIS-PM E.8(C)(2); Matter of Marin, 16 I&amp;N Dec. 581, 585 (BIA 1978).</t>
        </is>
      </c>
      <c r="E37" s="14" t="inlineStr">
        <is>
          <t>Equity Proven: Health and welfare of U.S. citizen/LPR family members depends on the Applicant's presence.</t>
        </is>
      </c>
      <c r="F37" s="15" t="inlineStr"/>
      <c r="G37" s="14" t="inlineStr">
        <is>
          <t>Medical records/letters from treating physicians describing the family member's condition and the Applicant's caregiving role.</t>
        </is>
      </c>
      <c r="H37" s="16" t="inlineStr"/>
      <c r="I37" s="14" t="inlineStr">
        <is>
          <t>Government may question whether hardship is truly attributable to the Applicant's absence. Our rebuttal: treating-physician letter specifically identifies the Applicant's caregiving role as medically significant.</t>
        </is>
      </c>
      <c r="J37" s="14" t="inlineStr">
        <is>
          <t>The Applicant's [family member], [name], suffers from [condition], as documented in the attached letter from Dr. [name]. The Applicant provides [describe caregiving — transportation to appointments, medication management, daily assistance], which [physician] identifies as integral to [family member]'s care. Separation from the Applicant would directly affect [family member]'s medical wellbeing.</t>
        </is>
      </c>
    </row>
    <row r="38" ht="110" customHeight="1">
      <c r="A38" s="13" t="inlineStr">
        <is>
          <t>HARDSHIP EQUITIES — to U.S. family if Applicant must depart</t>
        </is>
      </c>
      <c r="B38" s="19" t="inlineStr">
        <is>
          <t>Educational hardship to U.S. citizen children</t>
        </is>
      </c>
      <c r="C38" s="14" t="inlineStr">
        <is>
          <t>1 USCIS-PM E.8</t>
        </is>
      </c>
      <c r="D38" s="24" t="inlineStr">
        <is>
          <t>"Hardship due to an adverse decision" to U.S. family members is a recognized favorable discretionary factor; the degree of hardship and its specific impact on qualifying relatives must be assessed. 1 USCIS-PM E.8(C)(2); Matter of Marin, 16 I&amp;N Dec. 581, 585 (BIA 1978).</t>
        </is>
      </c>
      <c r="E38" s="14" t="inlineStr">
        <is>
          <t>Equity Proven: Protection of children's stability, schooling, and development.</t>
        </is>
      </c>
      <c r="F38" s="15" t="inlineStr"/>
      <c r="G38" s="14" t="inlineStr">
        <is>
          <t>School records, IEP/504 plans if applicable, letters from teachers/counselors.</t>
        </is>
      </c>
      <c r="H38" s="16" t="inlineStr"/>
      <c r="I38" s="14" t="inlineStr">
        <is>
          <t>Government may note children can adapt to relocation. Our rebuttal: [describe specific disruption — IEP services unavailable abroad, language barriers, ongoing academic program].</t>
        </is>
      </c>
      <c r="J38" s="14" t="inlineStr">
        <is>
          <t>The Applicant's [child(ren)], [name(s)], [is/are] enrolled at [school] and [describe any individualized education plan, language considerations, or other factors]. Disruption of [his/her/their] education — whether through relocation or separation from a parent — would cause significant hardship that the totality-of-the-circumstances analysis should weigh in the Applicant's favor.</t>
        </is>
      </c>
    </row>
    <row r="39" ht="110" customHeight="1">
      <c r="A39" s="13" t="inlineStr">
        <is>
          <t>HARDSHIP EQUITIES — to U.S. family if Applicant must depart</t>
        </is>
      </c>
      <c r="B39" s="19" t="inlineStr">
        <is>
          <t>Caregiving responsibilities</t>
        </is>
      </c>
      <c r="C39" s="14" t="inlineStr">
        <is>
          <t>1 USCIS-PM E.8</t>
        </is>
      </c>
      <c r="D39" s="24" t="inlineStr">
        <is>
          <t>"Hardship due to an adverse decision" to U.S. family members is a recognized favorable discretionary factor; the degree of hardship and its specific impact on qualifying relatives must be assessed. 1 USCIS-PM E.8(C)(2); Matter of Marin, 16 I&amp;N Dec. 581, 585 (BIA 1978).</t>
        </is>
      </c>
      <c r="E39" s="14" t="inlineStr">
        <is>
          <t>Equity Proven: Humanitarian and family-welfare concern — Applicant is a necessary caregiver for a U.S. citizen/LPR family member.</t>
        </is>
      </c>
      <c r="F39" s="15" t="inlineStr"/>
      <c r="G39" s="14" t="inlineStr">
        <is>
          <t>Medical/disability documentation for the care recipient, letters from healthcare providers, evidence no alternative caregiver is available.</t>
        </is>
      </c>
      <c r="H39" s="16" t="inlineStr"/>
      <c r="I39" s="14" t="inlineStr">
        <is>
          <t>Government may ask whether another family member could provide care. Our rebuttal: [explain why no alternative caregiver exists — only adult child, other relatives live far away, etc.].</t>
        </is>
      </c>
      <c r="J39" s="14" t="inlineStr">
        <is>
          <t>The Applicant serves as the primary caregiver for [family member], who [describe condition/disability]. As reflected in the attached medical documentation, [family member] requires [describe level of care], and no alternative caregiver is reasonably available. The Applicant's continued presence in the United States is therefore essential to [family member]'s wellbeing.</t>
        </is>
      </c>
    </row>
    <row r="40" ht="110" customHeight="1">
      <c r="A40" s="13" t="inlineStr">
        <is>
          <t>HARDSHIP EQUITIES — to U.S. family if Applicant must depart</t>
        </is>
      </c>
      <c r="B40" s="19" t="inlineStr">
        <is>
          <t>Psychological / emotional hardship</t>
        </is>
      </c>
      <c r="C40" s="14" t="inlineStr">
        <is>
          <t>1 USCIS-PM E.8</t>
        </is>
      </c>
      <c r="D40" s="24" t="inlineStr">
        <is>
          <t>"Hardship due to an adverse decision" to U.S. family members is a recognized favorable discretionary factor; the degree of hardship and its specific impact on qualifying relatives must be assessed. 1 USCIS-PM E.8(C)(2); Matter of Marin, 16 I&amp;N Dec. 581, 585 (BIA 1978).</t>
        </is>
      </c>
      <c r="E40" s="14" t="inlineStr">
        <is>
          <t>Equity Proven: Family welfare — documented emotional impact of separation on U.S. family members.</t>
        </is>
      </c>
      <c r="F40" s="15" t="inlineStr"/>
      <c r="G40" s="14" t="inlineStr">
        <is>
          <t>Letters from a licensed therapist/counselor; affidavits from family members describing impact of prior separations, if any.</t>
        </is>
      </c>
      <c r="H40" s="16" t="inlineStr"/>
      <c r="I40" s="14" t="inlineStr">
        <is>
          <t>Government may treat generalized emotional-hardship claims skeptically. Our rebuttal: the record includes a professional evaluation, not merely lay assertions, addressing [specific family member]'s circumstances.</t>
        </is>
      </c>
      <c r="J40" s="14" t="inlineStr">
        <is>
          <t>As reflected in the attached letter from [therapist/counselor], [family member] has experienced [describe documented emotional impact], and separation from the Applicant would [describe anticipated effect]. This evidence supports a finding that family separation in this case would cause more than the ordinary hardship inherent in any family-based immigration matter.</t>
        </is>
      </c>
    </row>
    <row r="41" ht="20" customHeight="1">
      <c r="A41" s="25" t="inlineStr">
        <is>
          <t>HUMANITARIAN EQUITIES — to the Applicant (Positive)</t>
        </is>
      </c>
    </row>
    <row r="42" ht="110" customHeight="1">
      <c r="A42" s="13" t="inlineStr">
        <is>
          <t>HUMANITARIAN EQUITIES — to the Applicant</t>
        </is>
      </c>
      <c r="B42" s="19" t="inlineStr">
        <is>
          <t>Applicant's own medical conditions</t>
        </is>
      </c>
      <c r="C42" s="14" t="inlineStr">
        <is>
          <t>1 USCIS-PM E.8</t>
        </is>
      </c>
      <c r="D42" s="24" t="inlineStr">
        <is>
          <t>"[A]ny facts related to the person's conduct, character, family ties, other lawful ties to the United States, immigration status, or any other humanitarian concerns may be appropriate factors to consider in the exercise of discretion." Humanitarian concerns include health issues. 1 USCIS-PM E.8(C)(2).</t>
        </is>
      </c>
      <c r="E42" s="14" t="inlineStr">
        <is>
          <t>Equity Proven: Humanitarian consideration — ongoing U.S.-based treatment that would be interrupted or unavailable abroad.</t>
        </is>
      </c>
      <c r="F42" s="15" t="inlineStr"/>
      <c r="G42" s="14" t="inlineStr">
        <is>
          <t>Treating-physician letters, treatment plans, evidence of treatment availability (or lack thereof) in home country.</t>
        </is>
      </c>
      <c r="H42" s="16" t="inlineStr"/>
      <c r="I42" s="14" t="inlineStr">
        <is>
          <t>Government may ask whether treatment is available abroad. Our rebuttal: [describe specific gaps — cost, availability, continuity-of-care concerns].</t>
        </is>
      </c>
      <c r="J42" s="14" t="inlineStr">
        <is>
          <t>The Applicant is currently receiving treatment for [condition] under the care of Dr. [name], as described in the attached letter. This treatment [requires ongoing monitoring / is not readily available in [home country] / would be interrupted by travel]. The Applicant's continued presence in the United States to complete this course of treatment is a significant humanitarian consideration.</t>
        </is>
      </c>
    </row>
    <row r="43" ht="110" customHeight="1">
      <c r="A43" s="13" t="inlineStr">
        <is>
          <t>HUMANITARIAN EQUITIES — to the Applicant</t>
        </is>
      </c>
      <c r="B43" s="19" t="inlineStr">
        <is>
          <t>Age-related vulnerability</t>
        </is>
      </c>
      <c r="C43" s="14" t="inlineStr">
        <is>
          <t>1 USCIS-PM E.8</t>
        </is>
      </c>
      <c r="D43" s="24" t="inlineStr">
        <is>
          <t>"[A]ny facts related to the person's conduct, character, family ties, other lawful ties to the United States, immigration status, or any other humanitarian concerns may be appropriate factors to consider in the exercise of discretion." Humanitarian concerns include health issues. 1 USCIS-PM E.8(C)(2).</t>
        </is>
      </c>
      <c r="E43" s="14" t="inlineStr">
        <is>
          <t>Equity Proven: Compassionate consideration given the Applicant's age and any associated health or support needs.</t>
        </is>
      </c>
      <c r="F43" s="15" t="inlineStr"/>
      <c r="G43" s="14" t="inlineStr">
        <is>
          <t>Evidence of age, any age-related health conditions, evidence of who provides support to the Applicant in the U.S.</t>
        </is>
      </c>
      <c r="H43" s="16" t="inlineStr"/>
      <c r="I43" s="14" t="inlineStr">
        <is>
          <t>Government may note age alone is not determinative. Our rebuttal: combined with [lack of support abroad / health conditions], age is one of several humanitarian considerations.</t>
        </is>
      </c>
      <c r="J43" s="14" t="inlineStr">
        <is>
          <t>The Applicant is [age] years old and [describe any relevant health or support considerations]. While age alone is not dispositive, it is one of several humanitarian factors — considered together with [cross-reference other factors] — that support a favorable exercise of discretion.</t>
        </is>
      </c>
    </row>
    <row r="44" ht="110" customHeight="1">
      <c r="A44" s="13" t="inlineStr">
        <is>
          <t>HUMANITARIAN EQUITIES — to the Applicant</t>
        </is>
      </c>
      <c r="B44" s="19" t="inlineStr">
        <is>
          <t>Lack of family or community support abroad</t>
        </is>
      </c>
      <c r="C44" s="14" t="inlineStr">
        <is>
          <t>1 USCIS-PM E.8</t>
        </is>
      </c>
      <c r="D44" s="24" t="inlineStr">
        <is>
          <t>"[A]ny facts related to the person's conduct, character, family ties, other lawful ties to the United States, immigration status, or any other humanitarian concerns may be appropriate factors to consider in the exercise of discretion." Humanitarian concerns include health issues. 1 USCIS-PM E.8(C)(2).</t>
        </is>
      </c>
      <c r="E44" s="14" t="inlineStr">
        <is>
          <t>Equity Proven: Humanitarian concern — Applicant would face hardship returning to a country where they have no remaining support network.</t>
        </is>
      </c>
      <c r="F44" s="15" t="inlineStr"/>
      <c r="G44" s="14" t="inlineStr">
        <is>
          <t>Affidavits describing family members who have died, emigrated, or lost contact; evidence of the Applicant's ties being concentrated in the U.S.</t>
        </is>
      </c>
      <c r="H44" s="16" t="inlineStr"/>
      <c r="I44" s="14" t="inlineStr">
        <is>
          <t>Government may note the Applicant lived in the home country previously. Our rebuttal: circumstances have changed — [describe what changed: family members emigrated/passed away, property sold, etc.].</t>
        </is>
      </c>
      <c r="J44" s="14" t="inlineStr">
        <is>
          <t>The Applicant has no remaining immediate family or meaningful support network in [home country]: [describe — e.g., parents are deceased, siblings have also emigrated to the United States]. The Applicant's family, community, and support system are now centered entirely in the United States.</t>
        </is>
      </c>
    </row>
    <row r="45" ht="110" customHeight="1">
      <c r="A45" s="13" t="inlineStr">
        <is>
          <t>HUMANITARIAN EQUITIES — to the Applicant</t>
        </is>
      </c>
      <c r="B45" s="19" t="inlineStr">
        <is>
          <t>Dangerous or unstable country conditions</t>
        </is>
      </c>
      <c r="C45" s="14" t="inlineStr">
        <is>
          <t>1 USCIS-PM E.8; 7 USCIS-PM A.10</t>
        </is>
      </c>
      <c r="D45" s="24" t="inlineStr">
        <is>
          <t>"[A]ny facts related to the person's conduct, character, family ties, other lawful ties to the United States, immigration status, or any other humanitarian concerns may be appropriate factors to consider in the exercise of discretion." Humanitarian concerns include health issues. 1 USCIS-PM E.8(C)(2).</t>
        </is>
      </c>
      <c r="E45" s="14" t="inlineStr">
        <is>
          <t>Equity Proven: Risk to the Applicant's safety if required to travel to or remain in the home country, even temporarily.</t>
        </is>
      </c>
      <c r="F45" s="15" t="inlineStr"/>
      <c r="G45" s="14" t="inlineStr">
        <is>
          <t>U.S. Department of State country reports/travel advisories, human rights reports, news articles, expert affidavits.</t>
        </is>
      </c>
      <c r="H45" s="16" t="inlineStr"/>
      <c r="I45" s="14" t="inlineStr">
        <is>
          <t>Government may note general country conditions affect all nationals, not just this Applicant. Our rebuttal: [describe Applicant-specific risk factors, if any, or explain why generalized conditions are nonetheless relevant to the AOS-vs-CP analysis].</t>
        </is>
      </c>
      <c r="J45" s="14" t="inlineStr">
        <is>
          <t>According to the U.S. Department of State's most recent country report, [country] is currently subject to [describe relevant travel advisory level / conditions]. These conditions bear directly on both the humanitarian equities in this case and on whether consular processing is a realistic alternative to adjustment of status.</t>
        </is>
      </c>
    </row>
    <row r="46" ht="110" customHeight="1">
      <c r="A46" s="13" t="inlineStr">
        <is>
          <t>HUMANITARIAN EQUITIES — to the Applicant</t>
        </is>
      </c>
      <c r="B46" s="19" t="inlineStr">
        <is>
          <t>Prior humanitarian-based status or relief</t>
        </is>
      </c>
      <c r="C46" s="14" t="inlineStr">
        <is>
          <t>1 USCIS-PM E.8</t>
        </is>
      </c>
      <c r="D46" s="24" t="inlineStr">
        <is>
          <t>"[A]ny facts related to the person's conduct, character, family ties, other lawful ties to the United States, immigration status, or any other humanitarian concerns may be appropriate factors to consider in the exercise of discretion." Humanitarian concerns include health issues. 1 USCIS-PM E.8(C)(2).</t>
        </is>
      </c>
      <c r="E46" s="14" t="inlineStr">
        <is>
          <t>Equity Proven: Reflects Congressional/agency recognition of humanitarian circumstances — supports continued favorable treatment.</t>
        </is>
      </c>
      <c r="F46" s="15" t="inlineStr"/>
      <c r="G46" s="14" t="inlineStr">
        <is>
          <t>Prior grant notices (asylum, TPS, U visa, VAWA approval, SIJS order, parole documents).</t>
        </is>
      </c>
      <c r="H46" s="16" t="inlineStr"/>
      <c r="I46" s="14" t="inlineStr">
        <is>
          <t>Not typically subject to a government counterargument — prior grants are part of the record. If relevant, note any changed circumstances since the prior grant.</t>
        </is>
      </c>
      <c r="J46" s="14" t="inlineStr">
        <is>
          <t>The Applicant was previously granted [asylum / TPS / U nonimmigrant status / VAWA self-petition approval / SIJS-based classification / humanitarian parole] on [date], reflecting an existing administrative finding of humanitarian need. This history is part of the totality of the circumstances supporting the Applicant's eligibility for, and the appropriateness of, adjustment of status.</t>
        </is>
      </c>
    </row>
    <row r="47" ht="20" customHeight="1">
      <c r="A47" s="25" t="inlineStr">
        <is>
          <t>COMMUNITY &amp; SOCIAL CONTRIBUTION (Positive)</t>
        </is>
      </c>
    </row>
    <row r="48" ht="110" customHeight="1">
      <c r="A48" s="13" t="inlineStr">
        <is>
          <t>COMMUNITY &amp; SOCIAL CONTRIBUTION</t>
        </is>
      </c>
      <c r="B48" s="19" t="inlineStr">
        <is>
          <t>Religious participation</t>
        </is>
      </c>
      <c r="C48" s="14" t="inlineStr">
        <is>
          <t>Matter of Arai, 13 I&amp;N Dec. 494 (BIA 1970); 1 USCIS-PM E.8</t>
        </is>
      </c>
      <c r="D48" s="24" t="inlineStr">
        <is>
          <t>"The applicant or beneficiary's value and service to the community" is a recognized favorable discretionary factor. 1 USCIS-PM E.8(C)(2); Matter of Marin, 16 I&amp;N Dec. 581, 585 (BIA 1978).</t>
        </is>
      </c>
      <c r="E48" s="14" t="inlineStr">
        <is>
          <t>Equity Proven: Community integration and positive contribution.</t>
        </is>
      </c>
      <c r="F48" s="15" t="inlineStr"/>
      <c r="G48" s="14" t="inlineStr">
        <is>
          <t>Letter from clergy/religious organization describing membership, attendance, and any service roles.</t>
        </is>
      </c>
      <c r="H48" s="16" t="inlineStr"/>
      <c r="I48" s="14" t="inlineStr">
        <is>
          <t>Government may view church attendance as low-weight standing alone. Our rebuttal: combined with [other community factors], reflects sustained, verifiable community integration.</t>
        </is>
      </c>
      <c r="J48" s="14" t="inlineStr">
        <is>
          <t>The Applicant has been an active member of [name of congregation] since [date], as reflected in the attached letter from [clergy member/title]. The Applicant [describe involvement — regular attendance, volunteer roles, participation in programs]. This sustained involvement reflects positive community integration. See 1 USCIS-PM E.8(C)(2).</t>
        </is>
      </c>
    </row>
    <row r="49" ht="110" customHeight="1">
      <c r="A49" s="13" t="inlineStr">
        <is>
          <t>COMMUNITY &amp; SOCIAL CONTRIBUTION</t>
        </is>
      </c>
      <c r="B49" s="19" t="inlineStr">
        <is>
          <t>Volunteer service</t>
        </is>
      </c>
      <c r="C49" s="14" t="inlineStr">
        <is>
          <t>PM-602-0188; 1 USCIS-PM E.8</t>
        </is>
      </c>
      <c r="D49" s="24" t="inlineStr">
        <is>
          <t>"The applicant or beneficiary's value and service to the community" is a recognized favorable discretionary factor. 1 USCIS-PM E.8(C)(2); Matter of Marin, 16 I&amp;N Dec. 581, 585 (BIA 1978).</t>
        </is>
      </c>
      <c r="E49" s="14" t="inlineStr">
        <is>
          <t>Equity Proven: Contribution to society beyond the Applicant's immediate family.</t>
        </is>
      </c>
      <c r="F49" s="15" t="inlineStr"/>
      <c r="G49" s="14" t="inlineStr">
        <is>
          <t>Letters from organizations documenting volunteer hours, role, and duration.</t>
        </is>
      </c>
      <c r="H49" s="16" t="inlineStr"/>
      <c r="I49" s="14" t="inlineStr">
        <is>
          <t>Government may discount isolated or short-term volunteering. Our rebuttal: [describe duration/consistency — e.g., X hours/month over Y years].</t>
        </is>
      </c>
      <c r="J49" s="14" t="inlineStr">
        <is>
          <t>Since [date], the Applicant has volunteered with [organization], where [he/she] [describe role/activities], totaling approximately [hours/frequency]. This sustained volunteer service reflects the Applicant's positive contributions to the community, a favorable factor under 1 USCIS-PM E.8(C)(2).</t>
        </is>
      </c>
    </row>
    <row r="50" ht="110" customHeight="1">
      <c r="A50" s="13" t="inlineStr">
        <is>
          <t>COMMUNITY &amp; SOCIAL CONTRIBUTION</t>
        </is>
      </c>
      <c r="B50" s="19" t="inlineStr">
        <is>
          <t>Mentorship / leadership roles</t>
        </is>
      </c>
      <c r="C50" s="14" t="inlineStr">
        <is>
          <t>PM-602-0188</t>
        </is>
      </c>
      <c r="D50" s="24" t="inlineStr">
        <is>
          <t>"The applicant or beneficiary's value and service to the community" is a recognized favorable discretionary factor. 1 USCIS-PM E.8(C)(2); Matter of Marin, 16 I&amp;N Dec. 581, 585 (BIA 1978).</t>
        </is>
      </c>
      <c r="E50" s="14" t="inlineStr">
        <is>
          <t>Equity Proven: Positive civic impact and leadership within the community.</t>
        </is>
      </c>
      <c r="F50" s="15" t="inlineStr"/>
      <c r="G50" s="14" t="inlineStr">
        <is>
          <t>Letters from mentees, organizations, or programs describing the Applicant's role and impact.</t>
        </is>
      </c>
      <c r="H50" s="16" t="inlineStr"/>
      <c r="I50" s="14" t="inlineStr">
        <is>
          <t>Government may treat informal mentorship as anecdotal. Our rebuttal: attached letters from [program/organization] corroborate the role and its impact.</t>
        </is>
      </c>
      <c r="J50" s="14" t="inlineStr">
        <is>
          <t>The Applicant has served as a [mentor/coach/leader] with [program or organization] since [date], where [he/she] [describe specific responsibilities and impact]. Letters from [program staff/mentees] attached hereto corroborate the Applicant's positive influence within the community.</t>
        </is>
      </c>
    </row>
    <row r="51" ht="110" customHeight="1">
      <c r="A51" s="13" t="inlineStr">
        <is>
          <t>COMMUNITY &amp; SOCIAL CONTRIBUTION</t>
        </is>
      </c>
      <c r="B51" s="19" t="inlineStr">
        <is>
          <t>Awards, recognition, or honors</t>
        </is>
      </c>
      <c r="C51" s="14" t="inlineStr">
        <is>
          <t>PM-602-0188</t>
        </is>
      </c>
      <c r="D51" s="24" t="inlineStr">
        <is>
          <t>"The applicant or beneficiary's value and service to the community" is a recognized favorable discretionary factor. 1 USCIS-PM E.8(C)(2); Matter of Marin, 16 I&amp;N Dec. 581, 585 (BIA 1978).</t>
        </is>
      </c>
      <c r="E51" s="14" t="inlineStr">
        <is>
          <t>Equity Proven: Documented exceptional contribution recognized by a third party.</t>
        </is>
      </c>
      <c r="F51" s="15" t="inlineStr"/>
      <c r="G51" s="14" t="inlineStr">
        <is>
          <t>Certificates, award letters, news coverage, employer/organization recognition.</t>
        </is>
      </c>
      <c r="H51" s="16" t="inlineStr"/>
      <c r="I51" s="14" t="inlineStr">
        <is>
          <t>N/A — third-party recognition is generally not subject to a meaningful counterargument; ensure authenticity is documented.</t>
        </is>
      </c>
      <c r="J51" s="14" t="inlineStr">
        <is>
          <t>The Applicant has received the following recognition for [his/her] contributions: [describe award(s), issuing organization, and date(s)]. This third-party recognition corroborates the Applicant's positive standing in the community.</t>
        </is>
      </c>
    </row>
    <row r="52" ht="110" customHeight="1">
      <c r="A52" s="13" t="inlineStr">
        <is>
          <t>COMMUNITY &amp; SOCIAL CONTRIBUTION</t>
        </is>
      </c>
      <c r="B52" s="19" t="inlineStr">
        <is>
          <t>Assistance to law enforcement</t>
        </is>
      </c>
      <c r="C52" s="14" t="inlineStr">
        <is>
          <t>PM-602-0188</t>
        </is>
      </c>
      <c r="D52" s="24" t="inlineStr">
        <is>
          <t>"The applicant or beneficiary's value and service to the community" is a recognized favorable discretionary factor. 1 USCIS-PM E.8(C)(2); Matter of Marin, 16 I&amp;N Dec. 581, 585 (BIA 1978).</t>
        </is>
      </c>
      <c r="E52" s="14" t="inlineStr">
        <is>
          <t>Equity Proven: Public benefit — cooperation with law enforcement is a significant positive factor.</t>
        </is>
      </c>
      <c r="F52" s="15" t="inlineStr"/>
      <c r="G52" s="14" t="inlineStr">
        <is>
          <t>Law enforcement certification (e.g., U-visa certification), letters from investigating agencies.</t>
        </is>
      </c>
      <c r="H52" s="16" t="inlineStr"/>
      <c r="I52" s="14" t="inlineStr">
        <is>
          <t>N/A — generally a strong, well-documented positive factor where present.</t>
        </is>
      </c>
      <c r="J52" s="14" t="inlineStr">
        <is>
          <t>The Applicant cooperated with [agency name] in connection with [describe matter, to the extent appropriate], as reflected in the attached certification/letter dated [date]. Cooperation with law enforcement of this kind is recognized as a significant positive factor in the discretionary analysis.</t>
        </is>
      </c>
    </row>
    <row r="53" ht="20" customHeight="1">
      <c r="A53" s="25" t="inlineStr">
        <is>
          <t>ECONOMIC CONTRIBUTION (Positive)</t>
        </is>
      </c>
    </row>
    <row r="54" ht="110" customHeight="1">
      <c r="A54" s="13" t="inlineStr">
        <is>
          <t>ECONOMIC CONTRIBUTION</t>
        </is>
      </c>
      <c r="B54" s="19" t="inlineStr">
        <is>
          <t>Stable employment history</t>
        </is>
      </c>
      <c r="C54" s="14" t="inlineStr">
        <is>
          <t>1 USCIS-PM E.8</t>
        </is>
      </c>
      <c r="D54" s="24" t="inlineStr">
        <is>
          <t>"History of employment" and "[p]roperty or business ties in the United States" are recognized favorable discretionary factors; "[i]t is important to consider the type of employment and its length and stability." 1 USCIS-PM E.8(C)(2); Matter of Mendez-Morales, 21 I&amp;N Dec. 296, 302 (BIA 1996); Matter of Marin, 16 I&amp;N Dec. 581, 585 (BIA 1978).</t>
        </is>
      </c>
      <c r="E54" s="14" t="inlineStr">
        <is>
          <t>Equity Proven: Self-sufficiency and reduced likelihood of becoming a public charge.</t>
        </is>
      </c>
      <c r="F54" s="15" t="inlineStr"/>
      <c r="G54" s="14" t="inlineStr">
        <is>
          <t>Employment verification letters, pay stubs, W-2s spanning multiple years.</t>
        </is>
      </c>
      <c r="H54" s="16" t="inlineStr"/>
      <c r="I54" s="14" t="inlineStr">
        <is>
          <t>Government may note employment alone is expected, not exceptional. Our rebuttal: length and stability ([X years with same employer]) reflect more than baseline expectations and support self-sufficiency findings.</t>
        </is>
      </c>
      <c r="J54" s="14" t="inlineStr">
        <is>
          <t>The Applicant has been continuously employed [at [employer] / in [field]] since [date], as documented by the attached employment verification letter and pay records. This stable employment history demonstrates the Applicant's self-sufficiency and ongoing positive economic contribution to the United States. See 1 USCIS-PM E.8(C)(2); Matter of Marin, 16 I&amp;N Dec. 581, 585 (BIA 1978).</t>
        </is>
      </c>
    </row>
    <row r="55" ht="110" customHeight="1">
      <c r="A55" s="13" t="inlineStr">
        <is>
          <t>ECONOMIC CONTRIBUTION</t>
        </is>
      </c>
      <c r="B55" s="19" t="inlineStr">
        <is>
          <t>Specialized skills / labor-shortage occupation</t>
        </is>
      </c>
      <c r="C55" s="14" t="inlineStr">
        <is>
          <t>1 USCIS-PM E.8</t>
        </is>
      </c>
      <c r="D55" s="24" t="inlineStr">
        <is>
          <t>"History of employment" and "[p]roperty or business ties in the United States" are recognized favorable discretionary factors; "[i]t is important to consider the type of employment and its length and stability." 1 USCIS-PM E.8(C)(2); Matter of Mendez-Morales, 21 I&amp;N Dec. 296, 302 (BIA 1996); Matter of Marin, 16 I&amp;N Dec. 581, 585 (BIA 1978).</t>
        </is>
      </c>
      <c r="E55" s="14" t="inlineStr">
        <is>
          <t>Equity Proven: Economic benefit to the U.S. — Applicant's skills address a documented labor need.</t>
        </is>
      </c>
      <c r="F55" s="15" t="inlineStr"/>
      <c r="G55" s="14" t="inlineStr">
        <is>
          <t>Job description, employer letter describing skill requirements, labor market data (e.g., O*NET, DOL shortage occupation lists) if available.</t>
        </is>
      </c>
      <c r="H55" s="16" t="inlineStr"/>
      <c r="I55" s="14" t="inlineStr">
        <is>
          <t>Government may not weigh occupation heavily absent a labor certification. Our rebuttal: even without a formal labor certification, the Applicant's skills in [field] address a documented need, as shown by [evidence].</t>
        </is>
      </c>
      <c r="J55" s="14" t="inlineStr">
        <is>
          <t>The Applicant works as [position/title], a role requiring [describe specialized skills/training]. [If applicable: This occupation is recognized as facing a labor shortage in [region/industry], as reflected in [source].] The Applicant's skills represent an ongoing economic contribution to the United States.</t>
        </is>
      </c>
    </row>
    <row r="56" ht="110" customHeight="1">
      <c r="A56" s="13" t="inlineStr">
        <is>
          <t>ECONOMIC CONTRIBUTION</t>
        </is>
      </c>
      <c r="B56" s="19" t="inlineStr">
        <is>
          <t>Education and future contribution</t>
        </is>
      </c>
      <c r="C56" s="14" t="inlineStr">
        <is>
          <t>1 USCIS-PM E.8</t>
        </is>
      </c>
      <c r="D56" s="24" t="inlineStr">
        <is>
          <t>"History of employment" and "[p]roperty or business ties in the United States" are recognized favorable discretionary factors; "[i]t is important to consider the type of employment and its length and stability." 1 USCIS-PM E.8(C)(2); Matter of Mendez-Morales, 21 I&amp;N Dec. 296, 302 (BIA 1996); Matter of Marin, 16 I&amp;N Dec. 581, 585 (BIA 1978).</t>
        </is>
      </c>
      <c r="E56" s="14" t="inlineStr">
        <is>
          <t>Equity Proven: Educational attainment supports continued positive contribution to the U.S. labor market.</t>
        </is>
      </c>
      <c r="F56" s="15" t="inlineStr"/>
      <c r="G56" s="14" t="inlineStr">
        <is>
          <t>Diplomas, transcripts, degree evaluations, evidence of how education is applied in current employment.</t>
        </is>
      </c>
      <c r="H56" s="16" t="inlineStr"/>
      <c r="I56" s="14" t="inlineStr">
        <is>
          <t>Government may not weigh education heavily standing alone. Our rebuttal: education is tied to [current employment/licensure], showing concrete application rather than unused credentials.</t>
        </is>
      </c>
      <c r="J56" s="14" t="inlineStr">
        <is>
          <t>The Applicant holds a [degree/credential] in [field] from [institution], completed in [year]. The Applicant currently applies this education in [describe role], reflecting a continued and concrete contribution to the U.S. economy and workforce.</t>
        </is>
      </c>
    </row>
    <row r="57" ht="110" customHeight="1">
      <c r="A57" s="13" t="inlineStr">
        <is>
          <t>ECONOMIC CONTRIBUTION</t>
        </is>
      </c>
      <c r="B57" s="19" t="inlineStr">
        <is>
          <t>Licensure / professional certification</t>
        </is>
      </c>
      <c r="C57" s="14" t="inlineStr">
        <is>
          <t>1 USCIS-PM E.8</t>
        </is>
      </c>
      <c r="D57" s="24" t="inlineStr">
        <is>
          <t>"History of employment" and "[p]roperty or business ties in the United States" are recognized favorable discretionary factors; "[i]t is important to consider the type of employment and its length and stability." 1 USCIS-PM E.8(C)(2); Matter of Mendez-Morales, 21 I&amp;N Dec. 296, 302 (BIA 1996); Matter of Marin, 16 I&amp;N Dec. 581, 585 (BIA 1978).</t>
        </is>
      </c>
      <c r="E57" s="14" t="inlineStr">
        <is>
          <t>Equity Proven: Professional value — Applicant has met formal U.S. licensing/certification standards.</t>
        </is>
      </c>
      <c r="F57" s="15" t="inlineStr"/>
      <c r="G57" s="14" t="inlineStr">
        <is>
          <t>Copies of license/certification, renewal records, any continuing-education documentation.</t>
        </is>
      </c>
      <c r="H57" s="16" t="inlineStr"/>
      <c r="I57" s="14" t="inlineStr">
        <is>
          <t>N/A — generally a strong, objectively verifiable positive factor.</t>
        </is>
      </c>
      <c r="J57" s="14" t="inlineStr">
        <is>
          <t>The Applicant holds [license/certification] issued by [issuing body], current through [date]. This credential reflects the Applicant's compliance with U.S. professional standards and ongoing commitment to [field].</t>
        </is>
      </c>
    </row>
    <row r="58" ht="110" customHeight="1">
      <c r="A58" s="13" t="inlineStr">
        <is>
          <t>ECONOMIC CONTRIBUTION</t>
        </is>
      </c>
      <c r="B58" s="19" t="inlineStr">
        <is>
          <t>Property ownership / financial investment in the U.S.</t>
        </is>
      </c>
      <c r="C58" s="14" t="inlineStr">
        <is>
          <t>1 USCIS-PM E.8</t>
        </is>
      </c>
      <c r="D58" s="24" t="inlineStr">
        <is>
          <t>"History of employment" and "[p]roperty or business ties in the United States" are recognized favorable discretionary factors; "[i]t is important to consider the type of employment and its length and stability." 1 USCIS-PM E.8(C)(2); Matter of Mendez-Morales, 21 I&amp;N Dec. 296, 302 (BIA 1996); Matter of Marin, 16 I&amp;N Dec. 581, 585 (BIA 1978).</t>
        </is>
      </c>
      <c r="E58" s="14" t="inlineStr">
        <is>
          <t>Equity Proven: Long-term commitment to and stake in the United States.</t>
        </is>
      </c>
      <c r="F58" s="15" t="inlineStr"/>
      <c r="G58" s="14" t="inlineStr">
        <is>
          <t>Property deed/mortgage statements, business registration documents, investment account statements.</t>
        </is>
      </c>
      <c r="H58" s="16" t="inlineStr"/>
      <c r="I58" s="14" t="inlineStr">
        <is>
          <t>Government may note property ownership does not itself establish eligibility. Our rebuttal: it is offered as one of several equities reflecting the Applicant's long-term ties, not as a standalone basis for relief.</t>
        </is>
      </c>
      <c r="J58" s="14" t="inlineStr">
        <is>
          <t>The Applicant [owns the property located at [address] / holds an ownership interest in [business]], as reflected in the attached [deed/registration documents]. This investment reflects the Applicant's long-term commitment to building a life in the United States.</t>
        </is>
      </c>
    </row>
    <row r="59" ht="20" customHeight="1">
      <c r="A59" s="25" t="inlineStr">
        <is>
          <t>CIVIC COMPLIANCE (Positive)</t>
        </is>
      </c>
    </row>
    <row r="60" ht="110" customHeight="1">
      <c r="A60" s="13" t="inlineStr">
        <is>
          <t>CIVIC COMPLIANCE</t>
        </is>
      </c>
      <c r="B60" s="19" t="inlineStr">
        <is>
          <t>Tax compliance</t>
        </is>
      </c>
      <c r="C60" s="14" t="inlineStr">
        <is>
          <t>PM-602-0188; 1 USCIS-PM E.8</t>
        </is>
      </c>
      <c r="D60" s="24" t="inlineStr">
        <is>
          <t>"History of taxes paid" and "[e]vidence regarding respect for law and order, good character, and intent to hold family responsibilities" are recognized favorable discretionary factors. 1 USCIS-PM E.8(C)(2).</t>
        </is>
      </c>
      <c r="E60" s="14" t="inlineStr">
        <is>
          <t>Equity Proven: Respect for law — fulfillment of civic financial obligations.</t>
        </is>
      </c>
      <c r="F60" s="15" t="inlineStr"/>
      <c r="G60" s="14" t="inlineStr">
        <is>
          <t>Federal and state tax returns for the relevant period, IRS transcripts if available.</t>
        </is>
      </c>
      <c r="H60" s="16" t="inlineStr"/>
      <c r="I60" s="14" t="inlineStr">
        <is>
          <t>N/A — generally a clear positive factor; if any filings were late, address briefly with explanation.</t>
        </is>
      </c>
      <c r="J60" s="14" t="inlineStr">
        <is>
          <t>The Applicant has timely filed federal and state income tax returns for each of the past [number] years, as reflected in the attached returns/transcripts. Consistent tax compliance reflects the Applicant's respect for the law and fulfillment of civic obligations. See 1 USCIS-PM E.8(C)(2).</t>
        </is>
      </c>
    </row>
    <row r="61" ht="110" customHeight="1">
      <c r="A61" s="13" t="inlineStr">
        <is>
          <t>CIVIC COMPLIANCE</t>
        </is>
      </c>
      <c r="B61" s="19" t="inlineStr">
        <is>
          <t>Child support compliance</t>
        </is>
      </c>
      <c r="C61" s="14" t="inlineStr">
        <is>
          <t>PM-602-0188</t>
        </is>
      </c>
      <c r="D61" s="24" t="inlineStr">
        <is>
          <t>"History of taxes paid" and "[e]vidence regarding respect for law and order, good character, and intent to hold family responsibilities" are recognized favorable discretionary factors. 1 USCIS-PM E.8(C)(2).</t>
        </is>
      </c>
      <c r="E61" s="14" t="inlineStr">
        <is>
          <t>Equity Proven: Responsibility — fulfillment of court-ordered family support obligations.</t>
        </is>
      </c>
      <c r="F61" s="15" t="inlineStr"/>
      <c r="G61" s="14" t="inlineStr">
        <is>
          <t>Court orders, payment records, letters from child-support enforcement agencies.</t>
        </is>
      </c>
      <c r="H61" s="16" t="inlineStr"/>
      <c r="I61" s="14" t="inlineStr">
        <is>
          <t>If there is a history of arrears, address directly here and cross-reference the Rehabilitation section for any catch-up payments.</t>
        </is>
      </c>
      <c r="J61" s="14" t="inlineStr">
        <is>
          <t>The Applicant [has consistently complied with / has brought current] the child-support obligation ordered in [case name/number], as reflected in the attached payment records. [If applicable: Although the Applicant previously fell behind on this obligation due to [reason], the Applicant has since paid all arrears in full, as documented in the attached records — see Rehabilitation section.]</t>
        </is>
      </c>
    </row>
    <row r="62" ht="110" customHeight="1">
      <c r="A62" s="13" t="inlineStr">
        <is>
          <t>CIVIC COMPLIANCE</t>
        </is>
      </c>
      <c r="B62" s="19" t="inlineStr">
        <is>
          <t>Debt resolution / financial responsibility</t>
        </is>
      </c>
      <c r="C62" s="14" t="inlineStr">
        <is>
          <t>PM-602-0188</t>
        </is>
      </c>
      <c r="D62" s="24" t="inlineStr">
        <is>
          <t>"History of taxes paid" and "[e]vidence regarding respect for law and order, good character, and intent to hold family responsibilities" are recognized favorable discretionary factors. 1 USCIS-PM E.8(C)(2).</t>
        </is>
      </c>
      <c r="E62" s="14" t="inlineStr">
        <is>
          <t>Equity Proven: Financial accountability — absence of, or resolution of, significant outstanding debts.</t>
        </is>
      </c>
      <c r="F62" s="15" t="inlineStr"/>
      <c r="G62" s="14" t="inlineStr">
        <is>
          <t>Credit report summary, settlement/payoff letters, bankruptcy discharge if applicable.</t>
        </is>
      </c>
      <c r="H62" s="16" t="inlineStr"/>
      <c r="I62" s="14" t="inlineStr">
        <is>
          <t>Government may flag any outstanding judgments. Our rebuttal: [describe payment plan/resolution in progress, if any].</t>
        </is>
      </c>
      <c r="J62" s="14" t="inlineStr">
        <is>
          <t>The Applicant [has no significant outstanding debts or judgments / has resolved [describe debt] through [describe resolution]], as reflected in the attached documentation. This reflects the Applicant's financial responsibility and accountability.</t>
        </is>
      </c>
    </row>
    <row r="63" ht="20" customHeight="1">
      <c r="A63" s="25" t="inlineStr">
        <is>
          <t>CHARACTER EQUITIES (Positive)</t>
        </is>
      </c>
    </row>
    <row r="64" ht="110" customHeight="1">
      <c r="A64" s="13" t="inlineStr">
        <is>
          <t>CHARACTER EQUITIES</t>
        </is>
      </c>
      <c r="B64" s="19" t="inlineStr">
        <is>
          <t>Absence of criminal history</t>
        </is>
      </c>
      <c r="C64" s="14" t="inlineStr">
        <is>
          <t>Matter of Marin, 16 I&amp;N Dec. 581 (BIA 1978); 1 USCIS-PM E.8</t>
        </is>
      </c>
      <c r="D64" s="24" t="inlineStr">
        <is>
          <t>"[E]vidence regarding respect for law and order, good character, and intent to hold family responsibilities" and "other indicators of an applicant or beneficiary's character" are recognized favorable discretionary factors. 1 USCIS-PM E.8(C)(2); Matter of Marin, 16 I&amp;N Dec. 581, 585 (BIA 1978).</t>
        </is>
      </c>
      <c r="E64" s="14" t="inlineStr">
        <is>
          <t>Equity Proven: Good moral character — no criminal record weighing against the Applicant.</t>
        </is>
      </c>
      <c r="F64" s="15" t="inlineStr"/>
      <c r="G64" s="14" t="inlineStr">
        <is>
          <t>Certified criminal background check / state and FBI record checks reflecting no convictions.</t>
        </is>
      </c>
      <c r="H64" s="16" t="inlineStr"/>
      <c r="I64" s="14" t="inlineStr">
        <is>
          <t>N/A — a clean record is a baseline positive; pair with affirmative GMC evidence below for maximum weight.</t>
        </is>
      </c>
      <c r="J64" s="14" t="inlineStr">
        <is>
          <t>A review of the Applicant's criminal history reflects no arrests or convictions of any kind. The absence of any unfavorable criminal record, combined with the affirmative evidence of good character described herein, supports a finding of good moral character under 1 USCIS-PM E.8(C)(2).</t>
        </is>
      </c>
    </row>
    <row r="65" ht="110" customHeight="1">
      <c r="A65" s="13" t="inlineStr">
        <is>
          <t>CHARACTER EQUITIES</t>
        </is>
      </c>
      <c r="B65" s="19" t="inlineStr">
        <is>
          <t>Character references / community reputation</t>
        </is>
      </c>
      <c r="C65" s="14" t="inlineStr">
        <is>
          <t>1 USCIS-PM E.8</t>
        </is>
      </c>
      <c r="D65" s="24" t="inlineStr">
        <is>
          <t>"[E]vidence regarding respect for law and order, good character, and intent to hold family responsibilities" and "other indicators of an applicant or beneficiary's character" are recognized favorable discretionary factors. 1 USCIS-PM E.8(C)(2); Matter of Marin, 16 I&amp;N Dec. 581, 585 (BIA 1978).</t>
        </is>
      </c>
      <c r="E65" s="14" t="inlineStr">
        <is>
          <t>Equity Proven: Trustworthiness and reputation — third-party corroboration of good moral character.</t>
        </is>
      </c>
      <c r="F65" s="15" t="inlineStr"/>
      <c r="G65" s="14" t="inlineStr">
        <is>
          <t>Multiple signed, dated letters from individuals in different relationships to the Applicant (employer, clergy, neighbor, friend) describing specific observations.</t>
        </is>
      </c>
      <c r="H65" s="16" t="inlineStr"/>
      <c r="I65" s="14" t="inlineStr">
        <is>
          <t>Government may discount form-letter-style references. Our rebuttal: letters describe specific, individualized observations rather than generic praise.</t>
        </is>
      </c>
      <c r="J65" s="14" t="inlineStr">
        <is>
          <t>The Applicant has submitted letters of support from [number] individuals — including [employer/clergy/neighbors/friends] — each attesting to the Applicant's honesty, reliability, and positive presence in their lives and the community. These letters, attached hereto, corroborate the Applicant's good moral character.</t>
        </is>
      </c>
    </row>
    <row r="66" ht="110" customHeight="1">
      <c r="A66" s="13" t="inlineStr">
        <is>
          <t>CHARACTER EQUITIES</t>
        </is>
      </c>
      <c r="B66" s="19" t="inlineStr">
        <is>
          <t>Military service or sustained law-enforcement cooperation</t>
        </is>
      </c>
      <c r="C66" s="14" t="inlineStr">
        <is>
          <t>PM-602-0188</t>
        </is>
      </c>
      <c r="D66" s="24" t="inlineStr">
        <is>
          <t>"[E]vidence regarding respect for law and order, good character, and intent to hold family responsibilities" and "other indicators of an applicant or beneficiary's character" are recognized favorable discretionary factors. 1 USCIS-PM E.8(C)(2); Matter of Marin, 16 I&amp;N Dec. 581, 585 (BIA 1978).</t>
        </is>
      </c>
      <c r="E66" s="14" t="inlineStr">
        <is>
          <t>Equity Proven: Exceptional service — carries substantial weight where present.</t>
        </is>
      </c>
      <c r="F66" s="15" t="inlineStr"/>
      <c r="G66" s="14" t="inlineStr">
        <is>
          <t>DD-214 or service records; law-enforcement cooperation letters/certifications.</t>
        </is>
      </c>
      <c r="H66" s="16" t="inlineStr"/>
      <c r="I66" s="14" t="inlineStr">
        <is>
          <t>N/A — where present, this is typically one of the strongest positive factors.</t>
        </is>
      </c>
      <c r="J66" s="14" t="inlineStr">
        <is>
          <t>The Applicant [served honorably in the [branch] from [dates], as reflected in the attached DD-214 / has cooperated with [law enforcement agency] as described above]. Military service and substantial cooperation with law enforcement are accorded significant weight in the discretionary analysis.</t>
        </is>
      </c>
    </row>
    <row r="67" ht="20" customHeight="1">
      <c r="A67" s="25" t="inlineStr">
        <is>
          <t>REHABILITATION / REFORMATION (Positive — include only if adverse history exists)</t>
        </is>
      </c>
    </row>
    <row r="68" ht="110" customHeight="1">
      <c r="A68" s="13" t="inlineStr">
        <is>
          <t>REHABILITATION / REFORMATION</t>
        </is>
      </c>
      <c r="B68" s="19" t="inlineStr">
        <is>
          <t>Completion of sentence, probation, or court-ordered conditions</t>
        </is>
      </c>
      <c r="C68" s="14" t="inlineStr">
        <is>
          <t>PM-602-0188; Matter of Edwards, 20 I&amp;N Dec. 191 (BIA 1990)</t>
        </is>
      </c>
      <c r="D68" s="24" t="inlineStr">
        <is>
          <t>"Criminal history (in the United States and abroad) and whether the applicant or beneficiary has rehabilitated and reformed" is a recognized discretionary factor; "reformation is not an absolute prerequisite to a favorable exercise of discretion" and the analysis must be conducted "on a case-by-case basis." Matter of Edwards, 20 I&amp;N Dec. 191, 196 (BIA 1990); 1 USCIS-PM E.8(C)(2).</t>
        </is>
      </c>
      <c r="E68" s="14" t="inlineStr">
        <is>
          <t>Equity Proven: Demonstrated compliance with all court-imposed obligations following past conduct.</t>
        </is>
      </c>
      <c r="F68" s="15" t="inlineStr"/>
      <c r="G68" s="14" t="inlineStr">
        <is>
          <t>Court records showing case closure, certificate of completion of probation, proof of payment of fines/fees.</t>
        </is>
      </c>
      <c r="H68" s="16" t="inlineStr"/>
      <c r="I68" s="14" t="inlineStr">
        <is>
          <t>Government may weigh the underlying conduct heavily regardless of completion. Our rebuttal: completion plus the passage of time and subsequent record (see below) demonstrate genuine reformation.</t>
        </is>
      </c>
      <c r="J68" s="14" t="inlineStr">
        <is>
          <t>Following [brief, factual description of the underlying matter] in [year], the Applicant fully complied with all court-ordered conditions, including [probation/community service/fines], as reflected in the attached records showing case closure on [date]. See Matter of Edwards, 20 I&amp;N Dec. 191 (BIA 1990) (reformation must be assessed on a case-by-case basis).</t>
        </is>
      </c>
    </row>
    <row r="69" ht="110" customHeight="1">
      <c r="A69" s="13" t="inlineStr">
        <is>
          <t>REHABILITATION / REFORMATION</t>
        </is>
      </c>
      <c r="B69" s="19" t="inlineStr">
        <is>
          <t>Counseling, treatment, or educational programs completed</t>
        </is>
      </c>
      <c r="C69" s="14" t="inlineStr">
        <is>
          <t>PM-602-0188</t>
        </is>
      </c>
      <c r="D69" s="24" t="inlineStr">
        <is>
          <t>"Criminal history (in the United States and abroad) and whether the applicant or beneficiary has rehabilitated and reformed" is a recognized discretionary factor; "reformation is not an absolute prerequisite to a favorable exercise of discretion" and the analysis must be conducted "on a case-by-case basis." Matter of Edwards, 20 I&amp;N Dec. 191, 196 (BIA 1990); 1 USCIS-PM E.8(C)(2).</t>
        </is>
      </c>
      <c r="E69" s="14" t="inlineStr">
        <is>
          <t>Equity Proven: Affirmative steps toward rehabilitation beyond what was legally required.</t>
        </is>
      </c>
      <c r="F69" s="15" t="inlineStr"/>
      <c r="G69" s="14" t="inlineStr">
        <is>
          <t>Certificates of completion, provider letters.</t>
        </is>
      </c>
      <c r="H69" s="16" t="inlineStr"/>
      <c r="I69" s="14" t="inlineStr">
        <is>
          <t>N/A — voluntary completion of programs generally strengthens the rehabilitation showing.</t>
        </is>
      </c>
      <c r="J69" s="14" t="inlineStr">
        <is>
          <t>In addition to complying with all court-ordered requirements, the Applicant voluntarily completed [program name] on [date], as reflected in the attached certificate. This additional step reflects the Applicant's genuine commitment to personal reformation.</t>
        </is>
      </c>
    </row>
    <row r="70" ht="110" customHeight="1">
      <c r="A70" s="13" t="inlineStr">
        <is>
          <t>REHABILITATION / REFORMATION</t>
        </is>
      </c>
      <c r="B70" s="19" t="inlineStr">
        <is>
          <t>Time elapsed since the conduct at issue</t>
        </is>
      </c>
      <c r="C70" s="14" t="inlineStr">
        <is>
          <t>PM-602-0188; Matter of Edwards, 20 I&amp;N Dec. 191 (BIA 1990)</t>
        </is>
      </c>
      <c r="D70" s="24" t="inlineStr">
        <is>
          <t>"Criminal history (in the United States and abroad) and whether the applicant or beneficiary has rehabilitated and reformed" is a recognized discretionary factor; "reformation is not an absolute prerequisite to a favorable exercise of discretion" and the analysis must be conducted "on a case-by-case basis." Matter of Edwards, 20 I&amp;N Dec. 191, 196 (BIA 1990); 1 USCIS-PM E.8(C)(2).</t>
        </is>
      </c>
      <c r="E70" s="14" t="inlineStr">
        <is>
          <t>Equity Proven: Passage of time without recurrence is itself evidence of reformation.</t>
        </is>
      </c>
      <c r="F70" s="15" t="inlineStr"/>
      <c r="G70" s="14" t="inlineStr">
        <is>
          <t>Timeline showing date of conduct vs. present; absence of any subsequent record.</t>
        </is>
      </c>
      <c r="H70" s="16" t="inlineStr"/>
      <c r="I70" s="14" t="inlineStr">
        <is>
          <t>Government may note the conduct remains part of the record regardless of time elapsed. Our rebuttal: [X years] have passed without any recurrence, which 1 USCIS-PM E.8 and PM-602-0188 recognize as relevant to the weight given to past conduct.</t>
        </is>
      </c>
      <c r="J70" s="14" t="inlineStr">
        <is>
          <t>More than [X years] have elapsed since the conduct described above, during which time the Applicant has had no further involvement with the criminal justice system. This sustained period of law-abiding conduct supports a finding of genuine reformation.</t>
        </is>
      </c>
    </row>
    <row r="71" ht="110" customHeight="1">
      <c r="A71" s="13" t="inlineStr">
        <is>
          <t>REHABILITATION / REFORMATION</t>
        </is>
      </c>
      <c r="B71" s="19" t="inlineStr">
        <is>
          <t>Consistent law-abiding conduct since</t>
        </is>
      </c>
      <c r="C71" s="14" t="inlineStr">
        <is>
          <t>PM-602-0188</t>
        </is>
      </c>
      <c r="D71" s="24" t="inlineStr">
        <is>
          <t>"Criminal history (in the United States and abroad) and whether the applicant or beneficiary has rehabilitated and reformed" is a recognized discretionary factor; "reformation is not an absolute prerequisite to a favorable exercise of discretion" and the analysis must be conducted "on a case-by-case basis." Matter of Edwards, 20 I&amp;N Dec. 191, 196 (BIA 1990); 1 USCIS-PM E.8(C)(2).</t>
        </is>
      </c>
      <c r="E71" s="14" t="inlineStr">
        <is>
          <t>Equity Proven: Pattern of conduct since the adverse event corroborates reformation and supports the overall case theme.</t>
        </is>
      </c>
      <c r="F71" s="15" t="inlineStr"/>
      <c r="G71" s="14" t="inlineStr">
        <is>
          <t>Combine with employment history, tax compliance, community involvement evidence above.</t>
        </is>
      </c>
      <c r="H71" s="16" t="inlineStr"/>
      <c r="I71" s="14" t="inlineStr">
        <is>
          <t>N/A — this factor ties together the other positive factors as evidence of a sustained pattern, not an isolated post-hoc showing.</t>
        </is>
      </c>
      <c r="J71" s="14" t="inlineStr">
        <is>
          <t>Since [date], the Applicant has maintained steady employment, complied with all tax obligations, and become an active and contributing member of the community, as detailed throughout this memorandum. This sustained record — not a single isolated showing — demonstrates that the conduct described above does not reflect the Applicant's character today.</t>
        </is>
      </c>
    </row>
    <row r="72" ht="20" customHeight="1">
      <c r="A72" s="26" t="inlineStr">
        <is>
          <t>IMMIGRATION VIOLATIONS (Adverse)</t>
        </is>
      </c>
    </row>
    <row r="73" ht="110" customHeight="1">
      <c r="A73" s="13" t="inlineStr">
        <is>
          <t>IMMIGRATION VIOLATIONS</t>
        </is>
      </c>
      <c r="B73" s="19" t="inlineStr">
        <is>
          <t>Overstay / accrual of unlawful presence</t>
        </is>
      </c>
      <c r="C73" s="14" t="inlineStr">
        <is>
          <t>INA §212(a)(9); PM-602-0199; 1 USCIS-PM E.8</t>
        </is>
      </c>
      <c r="D73" s="24" t="inlineStr">
        <is>
          <t>"Compliance with immigration laws" is a recognized adverse discretionary factor; however, "a record of immigration violations standing alone does not conclusively support a finding of lack of good moral character" and must be weighed against countervailing equities under the totality of the circumstances. 1 USCIS-PM E.8(C)(2); Matter of Mendez-Morales, 21 I&amp;N Dec. 296, 301 (BIA 1996).</t>
        </is>
      </c>
      <c r="E73" s="14" t="inlineStr">
        <is>
          <t>Government's Core Argument: Applicant remained in the U.S. beyond authorized status, in violation of the immigration laws.</t>
        </is>
      </c>
      <c r="F73" s="15" t="inlineStr"/>
      <c r="G73" s="14" t="inlineStr">
        <is>
          <t>I-94 records, prior visa expiration dates, any subsequent extensions/changes of status filed.</t>
        </is>
      </c>
      <c r="H73" s="16" t="inlineStr"/>
      <c r="I73" s="14" t="inlineStr">
        <is>
          <t>Our Rebuttal: [Identify any statutory forgiveness — e.g., immediate-relative AOS is generally not barred by unlawful presence under INA §245(c) exemptions / explain the limited duration and that it was promptly cured]. The overstay must be weighed against [strong family-unity / hardship equities above] per Matter of Mendez-Morales, 21 I&amp;N Dec. 296 (BIA 1996), which recognizes that immigration violations can be outweighed by countervailing equities.</t>
        </is>
      </c>
      <c r="J73" s="14" t="inlineStr">
        <is>
          <t>The Applicant acknowledges that [he/she] remained in the United States beyond the period authorized on Form I-94, from [date] to [date]. [Explain category-specific forgiveness, if applicable, e.g., as an immediate relative, the Applicant's eligibility to adjust status is not barred by this overstay under INA §245(c).] While this is a factor the officer may weigh, a "record of immigration violations standing alone does not conclusively support a finding of lack of good moral character" and must be assessed in light of the Applicant's substantial positive equities described herein. Matter of Mendez-Morales, 21 I&amp;N Dec. 296, 301 (BIA 1996).</t>
        </is>
      </c>
    </row>
    <row r="74" ht="110" customHeight="1">
      <c r="A74" s="13" t="inlineStr">
        <is>
          <t>IMMIGRATION VIOLATIONS</t>
        </is>
      </c>
      <c r="B74" s="19" t="inlineStr">
        <is>
          <t>Unauthorized employment</t>
        </is>
      </c>
      <c r="C74" s="14" t="inlineStr">
        <is>
          <t>PM-602-0199; 1 USCIS-PM E.8</t>
        </is>
      </c>
      <c r="D74" s="24" t="inlineStr">
        <is>
          <t>"Compliance with immigration laws" is a recognized adverse discretionary factor; however, "a record of immigration violations standing alone does not conclusively support a finding of lack of good moral character" and must be weighed against countervailing equities under the totality of the circumstances. 1 USCIS-PM E.8(C)(2); Matter of Mendez-Morales, 21 I&amp;N Dec. 296, 301 (BIA 1996).</t>
        </is>
      </c>
      <c r="E74" s="14" t="inlineStr">
        <is>
          <t>Government's Core Argument: Applicant worked without authorization, in violation of status.</t>
        </is>
      </c>
      <c r="F74" s="15" t="inlineStr"/>
      <c r="G74" s="14" t="inlineStr">
        <is>
          <t>Employment dates/records, any EAD approval dates for comparison.</t>
        </is>
      </c>
      <c r="H74" s="16" t="inlineStr"/>
      <c r="I74" s="14" t="inlineStr">
        <is>
          <t>Our Rebuttal: [Describe duration, whether disclosed voluntarily, and any statutory exemption — e.g., immediate-relative category]. Combined with the Applicant's overall record of tax compliance and stable, now-authorized employment, this factor should be given limited weight.</t>
        </is>
      </c>
      <c r="J74" s="14" t="inlineStr">
        <is>
          <t>The Applicant engaged in employment without authorization from approximately [date] to [date], prior to obtaining [EAD/current status]. The Applicant has disclosed this fact candidly and has, since obtaining authorization, maintained stable, lawful employment and full tax compliance, as described in Sections IV.A.7 and IV.A.8. This isolated period should be weighed against the Applicant's substantial countervailing equities.</t>
        </is>
      </c>
    </row>
    <row r="75" ht="110" customHeight="1">
      <c r="A75" s="13" t="inlineStr">
        <is>
          <t>IMMIGRATION VIOLATIONS</t>
        </is>
      </c>
      <c r="B75" s="19" t="inlineStr">
        <is>
          <t>Failure to maintain nonimmigrant status</t>
        </is>
      </c>
      <c r="C75" s="14" t="inlineStr">
        <is>
          <t>7 USCIS-PM A.10; 1 USCIS-PM E.8</t>
        </is>
      </c>
      <c r="D75" s="24" t="inlineStr">
        <is>
          <t>"Compliance with immigration laws" is a recognized adverse discretionary factor; however, "a record of immigration violations standing alone does not conclusively support a finding of lack of good moral character" and must be weighed against countervailing equities under the totality of the circumstances. 1 USCIS-PM E.8(C)(2); Matter of Mendez-Morales, 21 I&amp;N Dec. 296, 301 (BIA 1996).</t>
        </is>
      </c>
      <c r="E75" s="14" t="inlineStr">
        <is>
          <t>Government's Core Argument: Pattern of noncompliance with the terms of the Applicant's nonimmigrant classification.</t>
        </is>
      </c>
      <c r="F75" s="15" t="inlineStr"/>
      <c r="G75" s="14" t="inlineStr">
        <is>
          <t>Timeline of status history, any approved reinstatements or subsequent filings.</t>
        </is>
      </c>
      <c r="H75" s="16" t="inlineStr"/>
      <c r="I75" s="14" t="inlineStr">
        <is>
          <t>Our Rebuttal: [Explain the circumstances — e.g., a single inadvertent lapse later cured, vs. a pattern]. Emphasize any prompt corrective action taken.</t>
        </is>
      </c>
      <c r="J75" s="14" t="inlineStr">
        <is>
          <t>[Describe the specific lapse in status, the circumstances surrounding it, and any corrective action taken, e.g., filing for reinstatement or a subsequent change of status]. This was an isolated incident, promptly addressed, and does not reflect a pattern of disregard for the immigration laws.</t>
        </is>
      </c>
    </row>
    <row r="76" ht="110" customHeight="1">
      <c r="A76" s="13" t="inlineStr">
        <is>
          <t>IMMIGRATION VIOLATIONS</t>
        </is>
      </c>
      <c r="B76" s="19" t="inlineStr">
        <is>
          <t>Removal proceedings or prior order of removal</t>
        </is>
      </c>
      <c r="C76" s="14" t="inlineStr">
        <is>
          <t>7 USCIS-PM A.10; 1 USCIS-PM E.8</t>
        </is>
      </c>
      <c r="D76" s="24" t="inlineStr">
        <is>
          <t>"Compliance with immigration laws" is a recognized adverse discretionary factor; however, "a record of immigration violations standing alone does not conclusively support a finding of lack of good moral character" and must be weighed against countervailing equities under the totality of the circumstances. 1 USCIS-PM E.8(C)(2); Matter of Mendez-Morales, 21 I&amp;N Dec. 296, 301 (BIA 1996).</t>
        </is>
      </c>
      <c r="E76" s="14" t="inlineStr">
        <is>
          <t>Government's Core Argument: Prior enforcement history raises concerns about compliance and candor.</t>
        </is>
      </c>
      <c r="F76" s="15" t="inlineStr"/>
      <c r="G76" s="14" t="inlineStr">
        <is>
          <t>EOIR records, copies of any prior orders, proof of compliance with any post-order requirements, motions to reopen/terminate if applicable.</t>
        </is>
      </c>
      <c r="H76" s="16" t="inlineStr"/>
      <c r="I76" s="14" t="inlineStr">
        <is>
          <t>Our Rebuttal: [Explain the basis for the prior proceedings, current procedural posture (terminated, reopened, etc.), and how current eligibility is unaffected]. Address candidly — do not minimize.</t>
        </is>
      </c>
      <c r="J76" s="14" t="inlineStr">
        <is>
          <t>[Describe, factually and candidly, the nature and current status of any prior removal proceedings, including dates, the basis for the proceedings, and their current procedural posture]. [Explain why this history does not preclude the relief now sought, and how it should be weighed in light of the equities described above.]</t>
        </is>
      </c>
    </row>
    <row r="77" ht="20" customHeight="1">
      <c r="A77" s="26" t="inlineStr">
        <is>
          <t>FRAUD / CREDIBILITY CONCERNS (Adverse)</t>
        </is>
      </c>
    </row>
    <row r="78" ht="110" customHeight="1">
      <c r="A78" s="13" t="inlineStr">
        <is>
          <t>FRAUD / CREDIBILITY CONCERNS</t>
        </is>
      </c>
      <c r="B78" s="19" t="inlineStr">
        <is>
          <t>Misrepresentation in a prior application or at admission</t>
        </is>
      </c>
      <c r="C78" s="14" t="inlineStr">
        <is>
          <t>INA §212(a)(6)(C)(i); PM-602-0199; 7 USCIS-PM A.10</t>
        </is>
      </c>
      <c r="D78" s="24" t="inlineStr">
        <is>
          <t>"Previous instances of fraud or false testimony in dealings with USCIS or any government agency" are recognized adverse discretionary factors; willful misrepresentation of a material fact may also independently render an alien inadmissible. 1 USCIS-PM E.8(C)(2); INA §212(a)(6)(C)(i).</t>
        </is>
      </c>
      <c r="E78" s="14" t="inlineStr">
        <is>
          <t>Government's Core Argument: A material misrepresentation undermines the integrity of the Applicant's immigration history and raises credibility concerns for the current application.</t>
        </is>
      </c>
      <c r="F78" s="15" t="inlineStr"/>
      <c r="G78" s="14" t="inlineStr">
        <is>
          <t>Copies of prior applications, any prior findings of inadmissibility under INA §212(a)(6)(C), waiver applications/approvals if obtained.</t>
        </is>
      </c>
      <c r="H78" s="16" t="inlineStr"/>
      <c r="I78" s="14" t="inlineStr">
        <is>
          <t>Our Rebuttal: [If a waiver was obtained, state so. If the alleged misrepresentation is disputed, explain why it was not material or willful. If conceded, explain context and any corrective disclosure made.] Note: If this issue is present and unresolved, escalate for senior review before filing — do not rely solely on this template language.</t>
        </is>
      </c>
      <c r="J78" s="14" t="inlineStr">
        <is>
          <t>[ESCALATE — do not draft without senior attorney review.] [If applicable: The Applicant has obtained a waiver of inadmissibility under [section] for the conduct described, as reflected in the attached approval notice, and the issue is therefore resolved as a matter of eligibility. To the extent it remains relevant to discretion, the Applicant notes [mitigating context].]</t>
        </is>
      </c>
    </row>
    <row r="79" ht="110" customHeight="1">
      <c r="A79" s="13" t="inlineStr">
        <is>
          <t>FRAUD / CREDIBILITY CONCERNS</t>
        </is>
      </c>
      <c r="B79" s="19" t="inlineStr">
        <is>
          <t>False or fraudulent documents</t>
        </is>
      </c>
      <c r="C79" s="14" t="inlineStr">
        <is>
          <t>INA §212(a)(6)(C)(i)</t>
        </is>
      </c>
      <c r="D79" s="24" t="inlineStr">
        <is>
          <t>"Previous instances of fraud or false testimony in dealings with USCIS or any government agency" are recognized adverse discretionary factors; willful misrepresentation of a material fact may also independently render an alien inadmissible. 1 USCIS-PM E.8(C)(2); INA §212(a)(6)(C)(i).</t>
        </is>
      </c>
      <c r="E79" s="14" t="inlineStr">
        <is>
          <t>Government's Core Argument: Use of fraudulent documents reflects an attempt to deceive immigration authorities.</t>
        </is>
      </c>
      <c r="F79" s="15" t="inlineStr"/>
      <c r="G79" s="14" t="inlineStr">
        <is>
          <t>Records identifying the document(s) at issue and the circumstances of their use/discovery.</t>
        </is>
      </c>
      <c r="H79" s="16" t="inlineStr"/>
      <c r="I79" s="14" t="inlineStr">
        <is>
          <t>Our Rebuttal: [Context — e.g., documents used were provided by a third party without the Applicant's knowledge; voluntary disclosure made; time elapsed]. ESCALATE for senior review.</t>
        </is>
      </c>
      <c r="J79" s="14" t="inlineStr">
        <is>
          <t>[ESCALATE — do not draft without senior attorney review.]</t>
        </is>
      </c>
    </row>
    <row r="80" ht="110" customHeight="1">
      <c r="A80" s="13" t="inlineStr">
        <is>
          <t>FRAUD / CREDIBILITY CONCERNS</t>
        </is>
      </c>
      <c r="B80" s="19" t="inlineStr">
        <is>
          <t>False testimony to a government official</t>
        </is>
      </c>
      <c r="C80" s="14" t="inlineStr">
        <is>
          <t>INA §101(f)(6); PM-602-0199</t>
        </is>
      </c>
      <c r="D80" s="24" t="inlineStr">
        <is>
          <t>"Previous instances of fraud or false testimony in dealings with USCIS or any government agency" are recognized adverse discretionary factors; willful misrepresentation of a material fact may also independently render an alien inadmissible. 1 USCIS-PM E.8(C)(2); INA §212(a)(6)(C)(i).</t>
        </is>
      </c>
      <c r="E80" s="14" t="inlineStr">
        <is>
          <t>Government's Core Argument: False testimony for the purpose of obtaining an immigration benefit is a conditional bar to good moral character and a significant negative discretionary factor.</t>
        </is>
      </c>
      <c r="F80" s="15" t="inlineStr"/>
      <c r="G80" s="14" t="inlineStr">
        <is>
          <t>Transcripts/records of the statements at issue, any subsequent corrective statements.</t>
        </is>
      </c>
      <c r="H80" s="16" t="inlineStr"/>
      <c r="I80" s="14" t="inlineStr">
        <is>
          <t>Our Rebuttal: [Context, materiality dispute, or corrective disclosure]. ESCALATE for senior review.</t>
        </is>
      </c>
      <c r="J80" s="14" t="inlineStr">
        <is>
          <t>[ESCALATE — do not draft without senior attorney review.]</t>
        </is>
      </c>
    </row>
    <row r="81" ht="110" customHeight="1">
      <c r="A81" s="13" t="inlineStr">
        <is>
          <t>FRAUD / CREDIBILITY CONCERNS</t>
        </is>
      </c>
      <c r="B81" s="19" t="inlineStr">
        <is>
          <t>Inconsistent statements or concealment across filings</t>
        </is>
      </c>
      <c r="C81" s="14" t="inlineStr">
        <is>
          <t>7 USCIS-PM A.10</t>
        </is>
      </c>
      <c r="D81" s="24" t="inlineStr">
        <is>
          <t>"Previous instances of fraud or false testimony in dealings with USCIS or any government agency" are recognized adverse discretionary factors; willful misrepresentation of a material fact may also independently render an alien inadmissible. 1 USCIS-PM E.8(C)(2); INA §212(a)(6)(C)(i).</t>
        </is>
      </c>
      <c r="E81" s="14" t="inlineStr">
        <is>
          <t>Government's Core Argument: Inconsistencies across filings (current vs. prior applications, interviews, etc.) raise credibility concerns that color the entire discretionary analysis.</t>
        </is>
      </c>
      <c r="F81" s="15" t="inlineStr"/>
      <c r="G81" s="14" t="inlineStr">
        <is>
          <t>Side-by-side comparison of statements across all filings (I-94, prior visa applications, prior AOS/asylum filings, etc.).</t>
        </is>
      </c>
      <c r="H81" s="16" t="inlineStr"/>
      <c r="I81" s="14" t="inlineStr">
        <is>
          <t>Our Rebuttal: [Identify the specific inconsistency and provide a factual, candid explanation — translation error, evolving understanding of a question, correction already on file, etc.]. Proactively address before the officer raises it.</t>
        </is>
      </c>
      <c r="J81" s="14" t="inlineStr">
        <is>
          <t>[Describe the apparent inconsistency factually], [explain the reason for the discrepancy], and [note any steps taken to correct the record, such as a supplemental filing or sworn statement]. The Applicant has not sought to conceal this information and addresses it proactively in this memorandum.</t>
        </is>
      </c>
    </row>
    <row r="82" ht="20" customHeight="1">
      <c r="A82" s="26" t="inlineStr">
        <is>
          <t>PUBLIC SAFETY &amp; NATIONAL SECURITY CONCERNS (Adverse — highest weight)</t>
        </is>
      </c>
    </row>
    <row r="83" ht="110" customHeight="1">
      <c r="A83" s="13" t="inlineStr">
        <is>
          <t>PUBLIC SAFETY &amp; NATIONAL SECURITY CONCERNS</t>
        </is>
      </c>
      <c r="B83" s="19" t="inlineStr">
        <is>
          <t>Criminal conduct — felony or crime involving moral turpitude (CIMT)</t>
        </is>
      </c>
      <c r="C83" s="14" t="inlineStr">
        <is>
          <t>PM-602-0188; Matter of Castillo-Perez, 27 I&amp;N Dec. 664 (A.G. 2019); Matter of Blas, 15 I&amp;N Dec. 626 (BIA 1974, A.G. 1976)</t>
        </is>
      </c>
      <c r="D83" s="24" t="inlineStr">
        <is>
          <t>"[M]oral depravity or criminal tendencies reflected by a single serious crime or an ongoing or continuing criminal record" is an adverse discretionary factor; USCIS "generally does not exercise discretion favorably" in cases involving violent or dangerous crimes, and "depending on the gravity of the alien's underlying criminal offense, a showing of extraordinary circumstances might still be insufficient to warrant a favorable exercise of discretion." 1 USCIS-PM E.8(C)(2); 8 CFR §212.7(d).</t>
        </is>
      </c>
      <c r="E83" s="14" t="inlineStr">
        <is>
          <t>Government's Core Argument: Felony or CIMT convictions are significant negative factors and, depending on the offense, may constitute a conditional or permanent bar to good moral character.</t>
        </is>
      </c>
      <c r="F83" s="15" t="inlineStr"/>
      <c r="G83" s="14" t="inlineStr">
        <is>
          <t>Certified court dispositions, sentencing records, evidence of completion of sentence.</t>
        </is>
      </c>
      <c r="H83" s="16" t="inlineStr"/>
      <c r="I83" s="14" t="inlineStr">
        <is>
          <t>Our Rebuttal: Address only if NOT a permanent bar. [Describe nature/severity, time elapsed, and rehabilitation evidence — cross-reference Rehabilitation section]. ESCALATE for senior review to confirm no permanent bar applies before proceeding with AOS.</t>
        </is>
      </c>
      <c r="J83" s="14" t="inlineStr">
        <is>
          <t>[ESCALATE — confirm with senior attorney whether this conviction constitutes a permanent bar before drafting. If not a bar: describe the offense factually, the disposition, and the rehabilitation evidence in Section [X], explaining why the totality of the circumstances nonetheless supports a favorable exercise of discretion.]</t>
        </is>
      </c>
    </row>
    <row r="84" ht="110" customHeight="1">
      <c r="A84" s="13" t="inlineStr">
        <is>
          <t>PUBLIC SAFETY &amp; NATIONAL SECURITY CONCERNS</t>
        </is>
      </c>
      <c r="B84" s="19" t="inlineStr">
        <is>
          <t>Controlled substance violations / DUI</t>
        </is>
      </c>
      <c r="C84" s="14" t="inlineStr">
        <is>
          <t>PM-602-0188; Matter of Castillo-Perez, 27 I&amp;N Dec. 664 (A.G. 2019)</t>
        </is>
      </c>
      <c r="D84" s="24" t="inlineStr">
        <is>
          <t>"[M]oral depravity or criminal tendencies reflected by a single serious crime or an ongoing or continuing criminal record" is an adverse discretionary factor; USCIS "generally does not exercise discretion favorably" in cases involving violent or dangerous crimes, and "depending on the gravity of the alien's underlying criminal offense, a showing of extraordinary circumstances might still be insufficient to warrant a favorable exercise of discretion." 1 USCIS-PM E.8(C)(2); 8 CFR §212.7(d).</t>
        </is>
      </c>
      <c r="E84" s="14" t="inlineStr">
        <is>
          <t>Government's Core Argument: Matter of Castillo-Perez, 27 I&amp;N Dec. 664 (A.G. 2019), treats multiple DUI convictions as significant negative factors bearing on good moral character; controlled-substance violations may trigger independent inadmissibility grounds.</t>
        </is>
      </c>
      <c r="F84" s="15" t="inlineStr"/>
      <c r="G84" s="14" t="inlineStr">
        <is>
          <t>Certified court dispositions, proof of completion of any required programs (e.g., DUI school), proof of compliance with probation.</t>
        </is>
      </c>
      <c r="H84" s="16" t="inlineStr"/>
      <c r="I84" s="14" t="inlineStr">
        <is>
          <t>Our Rebuttal: [If a single, older DUI with completed programs and no recurrence: emphasize time elapsed, program completion, and absence of recurrence — cross-reference Rehabilitation section.] ESCALATE if any controlled-substance conviction is present — potential independent inadmissibility ground requiring waiver analysis.</t>
        </is>
      </c>
      <c r="J84" s="14" t="inlineStr">
        <is>
          <t>[ESCALATE if controlled-substance conviction — confirm waiver eligibility/strategy first.] [For DUI: The Applicant was convicted of [offense] on [date] and successfully completed [program], as reflected in the attached records. More than [X years] have passed without recurrence. While Matter of Castillo-Perez, 27 I&amp;N Dec. 664 (A.G. 2019), directs that such convictions be weighed carefully, the Applicant's subsequent record — detailed in Section [X] — demonstrates that this conduct does not reflect the Applicant's present character.]</t>
        </is>
      </c>
    </row>
    <row r="85" ht="110" customHeight="1">
      <c r="A85" s="13" t="inlineStr">
        <is>
          <t>PUBLIC SAFETY &amp; NATIONAL SECURITY CONCERNS</t>
        </is>
      </c>
      <c r="B85" s="19" t="inlineStr">
        <is>
          <t>Anti-American / anti-Western / antisemitic views or support for terrorism</t>
        </is>
      </c>
      <c r="C85" s="14" t="inlineStr">
        <is>
          <t>PM-602-0188</t>
        </is>
      </c>
      <c r="D85" s="24" t="inlineStr">
        <is>
          <t>"Public safety or national security concerns" are among the most serious adverse discretionary factors; USCIS generally does not exercise discretion favorably where such concerns are present. 1 USCIS-PM E.8(C)(2); 8 CFR §212.7(d).</t>
        </is>
      </c>
      <c r="E85" s="14" t="inlineStr">
        <is>
          <t>Government's Core Argument: PM-602-0188 identifies this category as OVERWHELMINGLY NEGATIVE — cannot be outweighed by positive equities if present.</t>
        </is>
      </c>
      <c r="F85" s="15" t="inlineStr"/>
      <c r="G85" s="14" t="inlineStr">
        <is>
          <t>N/A — this row exists to confirm ABSENCE, not to document presence.</t>
        </is>
      </c>
      <c r="H85" s="16" t="inlineStr"/>
      <c r="I85" s="14" t="inlineStr">
        <is>
          <t>If any indication of this exists in the record (social media, affiliations, statements), ESCALATE IMMEDIATELY to senior attorney — this is not a factor that can be balanced or rebutted through ordinary equities.</t>
        </is>
      </c>
      <c r="J85" s="14" t="inlineStr">
        <is>
          <t>The Applicant affirmatively states, and the record reflects no evidence to the contrary, that [he/she] has not expressed anti-American, anti-Western, or antisemitic views, and has no affiliation with or support for any terrorist organization or activity. PM-602-0188 identifies such conduct as an overwhelmingly negative factor; its absence here removes any concern in this category from the discretionary analysis.</t>
        </is>
      </c>
    </row>
    <row r="86" ht="110" customHeight="1">
      <c r="A86" s="13" t="inlineStr">
        <is>
          <t>PUBLIC SAFETY &amp; NATIONAL SECURITY CONCERNS</t>
        </is>
      </c>
      <c r="B86" s="19" t="inlineStr">
        <is>
          <t>FDNS referral / fraud-detection flag</t>
        </is>
      </c>
      <c r="C86" s="14" t="inlineStr">
        <is>
          <t>7 USCIS-PM A.10</t>
        </is>
      </c>
      <c r="D86" s="24" t="inlineStr">
        <is>
          <t>"Public safety or national security concerns" are among the most serious adverse discretionary factors; USCIS generally does not exercise discretion favorably where such concerns are present. 1 USCIS-PM E.8(C)(2); 8 CFR §212.7(d).</t>
        </is>
      </c>
      <c r="E86" s="14" t="inlineStr">
        <is>
          <t>Government's Core Argument: Any pending fraud-detection referral signals unresolved credibility or eligibility concerns that may need to be addressed before — or independent of — the discretionary analysis.</t>
        </is>
      </c>
      <c r="F86" s="15" t="inlineStr"/>
      <c r="G86" s="14" t="inlineStr">
        <is>
          <t>Any RFE/NOID referencing site visits, FDNS, or fraud concerns; responses filed.</t>
        </is>
      </c>
      <c r="H86" s="16" t="inlineStr"/>
      <c r="I86" s="14" t="inlineStr">
        <is>
          <t>Our Rebuttal: [Summarize the basis for the referral and how it was resolved — e.g., site visit completed satisfactorily, RFE responded to with corroborating evidence]. If unresolved, ESCALATE.</t>
        </is>
      </c>
      <c r="J86" s="14" t="inlineStr">
        <is>
          <t>[If applicable: USCIS previously raised [describe FDNS-related concern] in connection with this matter. As reflected in [response/evidence], this concern has been fully addressed through [describe resolution]. The Applicant is not aware of any unresolved fraud-detection concerns affecting this application.]</t>
        </is>
      </c>
    </row>
  </sheetData>
  <mergeCells count="21">
    <mergeCell ref="A47:J47"/>
    <mergeCell ref="A23:J23"/>
    <mergeCell ref="A8:J8"/>
    <mergeCell ref="A53:J53"/>
    <mergeCell ref="A29:J29"/>
    <mergeCell ref="A4:J4"/>
    <mergeCell ref="A35:J35"/>
    <mergeCell ref="A72:J72"/>
    <mergeCell ref="A63:J63"/>
    <mergeCell ref="A67:J67"/>
    <mergeCell ref="A77:J77"/>
    <mergeCell ref="A59:J59"/>
    <mergeCell ref="A82:J82"/>
    <mergeCell ref="B6:J6"/>
    <mergeCell ref="A1:J1"/>
    <mergeCell ref="B5:J5"/>
    <mergeCell ref="A25:J25"/>
    <mergeCell ref="A41:J41"/>
    <mergeCell ref="B16:J18"/>
    <mergeCell ref="B19:J20"/>
    <mergeCell ref="A2:J2"/>
  </mergeCells>
  <conditionalFormatting sqref="H23:H86">
    <cfRule type="cellIs" priority="1" operator="equal" dxfId="3">
      <formula>"Strong"</formula>
    </cfRule>
    <cfRule type="cellIs" priority="2" operator="equal" dxfId="4">
      <formula>"Moderate"</formula>
    </cfRule>
    <cfRule type="cellIs" priority="3" operator="equal" dxfId="2">
      <formula>"Limited"</formula>
    </cfRule>
    <cfRule type="cellIs" priority="4" operator="equal" dxfId="2">
      <formula>"Not Present"</formula>
    </cfRule>
  </conditionalFormatting>
  <dataValidations count="1">
    <dataValidation sqref="H23:H86" showDropDown="0" showInputMessage="0" showErrorMessage="0" allowBlank="1" type="list">
      <formula1>"Strong,Moderate,Limited,Not Present"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pane ySplit="2" topLeftCell="A3" activePane="bottomLeft" state="frozen"/>
      <selection pane="bottomLeft" activeCell="A1" sqref="A1"/>
    </sheetView>
  </sheetViews>
  <sheetFormatPr baseColWidth="8" defaultRowHeight="15"/>
  <cols>
    <col width="28" customWidth="1" min="1" max="1"/>
    <col width="60" customWidth="1" min="2" max="2"/>
    <col width="54" customWidth="1" min="3" max="3"/>
    <col width="36" customWidth="1" min="4" max="4"/>
  </cols>
  <sheetData>
    <row r="1" ht="30" customHeight="1">
      <c r="A1" s="27" t="inlineStr">
        <is>
          <t>CASE THEME WORKSHEET — AOS Discretionary Brief</t>
        </is>
      </c>
      <c r="B1" s="28" t="n"/>
      <c r="C1" s="28" t="n"/>
      <c r="D1" s="28" t="n"/>
    </row>
    <row r="2" ht="52" customHeight="1">
      <c r="A2" s="29" t="inlineStr">
        <is>
          <t>Complete this worksheet BEFORE drafting the brief. Step 1: Run Tab 2 (Brief Development Matrix) and weight the factors. Step 2: Return here and distill the case into a theme and 2–4 primary argument headings. Step 3: Map each heading to the Tab 2 categories that support it. The brief generator reads this tab — not the factor categories directly — so the brief will be organized around your narrative, not a checklist.</t>
        </is>
      </c>
      <c r="B2" s="28" t="n"/>
      <c r="C2" s="28" t="n"/>
      <c r="D2" s="28" t="n"/>
    </row>
    <row r="3" ht="8" customHeight="1"/>
    <row r="4" ht="20" customHeight="1">
      <c r="A4" s="30" t="inlineStr">
        <is>
          <t>PART 1 — CASE THEME</t>
        </is>
      </c>
      <c r="B4" s="28" t="n"/>
      <c r="C4" s="28" t="n"/>
      <c r="D4" s="28" t="n"/>
    </row>
    <row r="5" ht="52" customHeight="1">
      <c r="A5" s="31" t="inlineStr">
        <is>
          <t>Case Theme:</t>
        </is>
      </c>
      <c r="B5" s="32" t="inlineStr"/>
      <c r="C5" s="29" t="inlineStr">
        <is>
          <t>One sentence. Persuasive, not legal. Example: "A devoted mother whose continued presence is essential to her U.S. citizen family and two grandchildren."</t>
        </is>
      </c>
    </row>
    <row r="6" ht="8" customHeight="1"/>
    <row r="7" ht="20" customHeight="1">
      <c r="A7" s="30" t="inlineStr">
        <is>
          <t>PART 2 — PRIMARY ARGUMENT SECTIONS (2–4 sections)</t>
        </is>
      </c>
      <c r="B7" s="28" t="n"/>
      <c r="C7" s="28" t="n"/>
      <c r="D7" s="28" t="n"/>
    </row>
    <row r="8" ht="32" customHeight="1">
      <c r="A8" s="33" t="inlineStr">
        <is>
          <t>Section</t>
        </is>
      </c>
      <c r="B8" s="33" t="inlineStr">
        <is>
          <t>Section Heading
(use in brief — attorney-authored)</t>
        </is>
      </c>
      <c r="C8" s="33" t="inlineStr">
        <is>
          <t>Tab 2 Categories to Include
(comma-separated exact matches)</t>
        </is>
      </c>
      <c r="D8" s="33" t="inlineStr">
        <is>
          <t>Notes / Theme Connection</t>
        </is>
      </c>
    </row>
    <row r="9" ht="42" customHeight="1">
      <c r="A9" s="34" t="inlineStr">
        <is>
          <t>Section A</t>
        </is>
      </c>
      <c r="B9" s="35" t="inlineStr">
        <is>
          <t>Positive — Family Unity (Family Members), Positive — Caregiving and Dependents</t>
        </is>
      </c>
      <c r="C9" s="32" t="inlineStr"/>
      <c r="D9" s="29" t="inlineStr">
        <is>
          <t>Lead with your strongest equity.</t>
        </is>
      </c>
    </row>
    <row r="10" ht="42" customHeight="1">
      <c r="A10" s="34" t="inlineStr">
        <is>
          <t>Section B</t>
        </is>
      </c>
      <c r="B10" s="35" t="inlineStr">
        <is>
          <t>Positive — Community Contribution, Positive — Economic Contribution, Positive — Length of Residence</t>
        </is>
      </c>
      <c r="C10" s="32" t="inlineStr"/>
      <c r="D10" s="29" t="inlineStr">
        <is>
          <t>Bundle secondary equities here.</t>
        </is>
      </c>
    </row>
    <row r="11" ht="42" customHeight="1">
      <c r="A11" s="34" t="inlineStr">
        <is>
          <t>Section C</t>
        </is>
      </c>
      <c r="B11" s="35" t="inlineStr">
        <is>
          <t>Threshold Eligibility</t>
        </is>
      </c>
      <c r="C11" s="32" t="inlineStr"/>
      <c r="D11" s="29" t="inlineStr">
        <is>
          <t>Address the May 2026 memo head-on — why AOS rather than CP?</t>
        </is>
      </c>
    </row>
    <row r="12" ht="42" customHeight="1">
      <c r="A12" s="34" t="inlineStr">
        <is>
          <t>Section D</t>
        </is>
      </c>
      <c r="B12" s="35" t="inlineStr"/>
      <c r="C12" s="32" t="inlineStr"/>
      <c r="D12" s="29" t="inlineStr">
        <is>
          <t>Optional 4th section.</t>
        </is>
      </c>
    </row>
    <row r="13" ht="8" customHeight="1"/>
    <row r="14" ht="20" customHeight="1">
      <c r="A14" s="36" t="inlineStr">
        <is>
          <t>PART 3 — AOS IS THE APPROPRIATE MECHANISM (May 2026 PM Response)</t>
        </is>
      </c>
      <c r="B14" s="28" t="n"/>
      <c r="C14" s="28" t="n"/>
      <c r="D14" s="28" t="n"/>
    </row>
    <row r="15" ht="20" customHeight="1">
      <c r="A15" s="31" t="inlineStr">
        <is>
          <t>Include this section?</t>
        </is>
      </c>
      <c r="B15" s="32" t="inlineStr">
        <is>
          <t>Yes</t>
        </is>
      </c>
      <c r="C15" s="29" t="inlineStr">
        <is>
          <t>Yes / No. Recommended: Yes for most cases filed after the May 2026 memo. This section explains why AOS rather than consular processing, addresses preconceived intent concerns, and demonstrates why Congress created immediate-relative adjustment.</t>
        </is>
      </c>
    </row>
    <row r="16" ht="20" customHeight="1">
      <c r="A16" s="31" t="inlineStr">
        <is>
          <t>Section Heading:</t>
        </is>
      </c>
      <c r="B16" s="32" t="inlineStr">
        <is>
          <t>Adjustment of Status Is the Appropriate and Legally Available Relief</t>
        </is>
      </c>
      <c r="C16" s="29" t="inlineStr">
        <is>
          <t>Edit the heading if the case warrants a more specific framing.</t>
        </is>
      </c>
    </row>
    <row r="17" ht="52" customHeight="1">
      <c r="A17" s="31" t="inlineStr">
        <is>
          <t>Key Points to Make:</t>
        </is>
      </c>
      <c r="B17" s="32" t="inlineStr"/>
      <c r="C17" s="29" t="inlineStr">
        <is>
          <t>Bullet or prose notes for this section. Example: 'Consular processing would trigger 10-year bar. Entry was lawful. No preconceived intent — circumstances changed after entry when daughter became USC.'</t>
        </is>
      </c>
    </row>
    <row r="18" ht="8" customHeight="1"/>
    <row r="19" ht="20" customHeight="1">
      <c r="A19" s="37" t="inlineStr">
        <is>
          <t>PART 4 — ADVERSE FACTORS &amp; BALANCING</t>
        </is>
      </c>
      <c r="B19" s="28" t="n"/>
      <c r="C19" s="28" t="n"/>
      <c r="D19" s="28" t="n"/>
    </row>
    <row r="20" ht="40" customHeight="1">
      <c r="A20" s="31" t="inlineStr">
        <is>
          <t>Adverse Factor Heading:</t>
        </is>
      </c>
      <c r="B20" s="32" t="inlineStr">
        <is>
          <t>The Adverse Factors Are Outweighed by the Applicant's Substantial Equities</t>
        </is>
      </c>
      <c r="C20" s="29" t="inlineStr">
        <is>
          <t>Edit to match the case. If no significant adverse factors, change to 'The Record Presents No Substantial Adverse Factors'.</t>
        </is>
      </c>
    </row>
    <row r="21" ht="52" customHeight="1">
      <c r="A21" s="31" t="inlineStr">
        <is>
          <t>Balancing Notes:</t>
        </is>
      </c>
      <c r="B21" s="32" t="inlineStr"/>
      <c r="C21" s="29" t="inlineStr">
        <is>
          <t>Attorney notes for the balancing paragraph. The generator writes boilerplate — add case-specific language here, e.g., 'overstay is sole adverse factor, nonwillful, immediately disclosed'.</t>
        </is>
      </c>
    </row>
    <row r="22" ht="8" customHeight="1"/>
    <row r="23" ht="20" customHeight="1">
      <c r="A23" s="30" t="inlineStr">
        <is>
          <t>PART 5 — CONCLUSION</t>
        </is>
      </c>
      <c r="B23" s="28" t="n"/>
      <c r="C23" s="28" t="n"/>
      <c r="D23" s="28" t="n"/>
    </row>
    <row r="24" ht="40" customHeight="1">
      <c r="A24" s="31" t="inlineStr">
        <is>
          <t>Conclusion Notes:</t>
        </is>
      </c>
      <c r="B24" s="32" t="inlineStr"/>
      <c r="C24" s="29" t="inlineStr">
        <is>
          <t>Optional. Add case-specific closing language. The generator provides boilerplate conclusion text; this field supplements it.</t>
        </is>
      </c>
    </row>
  </sheetData>
  <mergeCells count="14">
    <mergeCell ref="A1:D1"/>
    <mergeCell ref="C20:D20"/>
    <mergeCell ref="A23:D23"/>
    <mergeCell ref="C21:D21"/>
    <mergeCell ref="C16:D16"/>
    <mergeCell ref="C24:D24"/>
    <mergeCell ref="C15:D15"/>
    <mergeCell ref="A4:D4"/>
    <mergeCell ref="C5:D5"/>
    <mergeCell ref="A7:D7"/>
    <mergeCell ref="A2:D2"/>
    <mergeCell ref="A19:D19"/>
    <mergeCell ref="C17:D17"/>
    <mergeCell ref="A14:D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8" customWidth="1" min="1" max="1"/>
    <col width="90" customWidth="1" min="2" max="2"/>
  </cols>
  <sheetData>
    <row r="1" ht="45" customHeight="1">
      <c r="A1" s="18" t="inlineStr">
        <is>
          <t>Source</t>
        </is>
      </c>
      <c r="B1" s="18" t="inlineStr">
        <is>
          <t>Key Point</t>
        </is>
      </c>
    </row>
    <row r="2" ht="45" customHeight="1">
      <c r="A2" s="19" t="inlineStr">
        <is>
          <t>PM-602-0199 (5/21/2026)</t>
        </is>
      </c>
      <c r="B2" s="14" t="inlineStr">
        <is>
          <t>Adjustment of status is a discretionary form of relief and an 'administrative grace' / extraordinary relief allowing applicants to dispense with the ordinary immigrant-visa process abroad. Applicants bear the burden of establishing both statutory eligibility AND that a favorable exercise of discretion is warranted under the totality of the circumstances, by a preponderance of the evidence.</t>
        </is>
      </c>
    </row>
    <row r="3" ht="45" customHeight="1">
      <c r="A3" s="19" t="inlineStr">
        <is>
          <t>INA §245(a) / 8 U.S.C. §1255(a)</t>
        </is>
      </c>
      <c r="B3" s="14" t="inlineStr">
        <is>
          <t>Statutory basis for AOS; eligibility requires admissibility, visa availability, and that the application is filed in compliance with the statute and regulations.</t>
        </is>
      </c>
    </row>
    <row r="4" ht="45" customHeight="1">
      <c r="A4" s="19" t="inlineStr">
        <is>
          <t>INA §103(a)(3) / 8 U.S.C. §1103(a)</t>
        </is>
      </c>
      <c r="B4" s="14" t="inlineStr">
        <is>
          <t>Source of the Secretary's general discretionary authority over the administration of the immigration laws, including AOS adjudications.</t>
        </is>
      </c>
    </row>
    <row r="5" ht="45" customHeight="1">
      <c r="A5" s="19" t="inlineStr">
        <is>
          <t>1 USCIS-PM E.8 (Discretionary Analysis)</t>
        </is>
      </c>
      <c r="B5" s="14" t="inlineStr">
        <is>
          <t>General policy chapter describing how USCIS weighs positive and negative discretionary factors across benefit types, including AOS.</t>
        </is>
      </c>
    </row>
    <row r="6" ht="45" customHeight="1">
      <c r="A6" s="19" t="inlineStr">
        <is>
          <t>7 USCIS-PM A.10 (Legal Analysis and Use of Discretion)</t>
        </is>
      </c>
      <c r="B6" s="14" t="inlineStr">
        <is>
          <t>AOS-specific chapter on the legal analysis underlying discretion, including the relevance of manner of entry, intent, and conduct after admission.</t>
        </is>
      </c>
    </row>
    <row r="7" ht="45" customHeight="1">
      <c r="A7" s="19" t="inlineStr">
        <is>
          <t>PM-602-0188 / 'GMC Memo' (8/15/2025)</t>
        </is>
      </c>
      <c r="B7" s="14" t="inlineStr">
        <is>
          <t>Restores a rigorous, holistic GMC evaluation standard; identifies anti-American/anti-Western and antisemitic views or support for terrorism as overwhelmingly negative factors that cannot be outweighed by positive equities; recognizes rehabilitation evidence (paying overdue child support/taxes, SSI repayment, probation compliance, community testimony) as mitigating.</t>
        </is>
      </c>
    </row>
    <row r="8" ht="45" customHeight="1">
      <c r="A8" s="19" t="inlineStr">
        <is>
          <t>Highly relevant negative factor (PM-602-0199)</t>
        </is>
      </c>
      <c r="B8" s="14" t="inlineStr">
        <is>
          <t>Conduct after admission inconsistent with representations made when applying for the visa/admission/parole, COMBINED with the fact that the failure to depart could have been avoided through consular processing — treated as particularly significant.</t>
        </is>
      </c>
    </row>
    <row r="9" ht="45" customHeight="1">
      <c r="A9" s="19" t="inlineStr">
        <is>
          <t>Presidential Proclamation 10949 (6/4/2025)</t>
        </is>
      </c>
      <c r="B9" s="14" t="inlineStr">
        <is>
          <t>19-country entry-restriction list; relevant to whether consular processing is realistically 'available' for purposes of the AOS-vs-CP discretionary analysis.</t>
        </is>
      </c>
    </row>
    <row r="10" ht="45" customHeight="1">
      <c r="A10" s="19" t="inlineStr">
        <is>
          <t>Matter of Arai, 13 I&amp;N Dec. 494 (BIA 1970)</t>
        </is>
      </c>
      <c r="B10" s="14" t="inlineStr">
        <is>
          <t>Establishes that favorable factors (e.g., family ties, length of residence, hardship) are weighed against adverse factors (immigration violations, criminal record, character) in discretionary adjudications.</t>
        </is>
      </c>
    </row>
    <row r="11" ht="45" customHeight="1">
      <c r="A11" s="19" t="inlineStr">
        <is>
          <t>Matter of Marin, 16 I&amp;N Dec. 581 (BIA 1978)</t>
        </is>
      </c>
      <c r="B11" s="14" t="inlineStr">
        <is>
          <t>Adverse factors must be examined as part of the discretionary balancing; significant violations weigh heavily against favorable exercise.</t>
        </is>
      </c>
    </row>
    <row r="12" ht="45" customHeight="1">
      <c r="A12" s="19" t="inlineStr">
        <is>
          <t>Matter of Blas, 15 I&amp;N Dec. 626 (BIA 1974, A.G. 1976)</t>
        </is>
      </c>
      <c r="B12" s="14" t="inlineStr">
        <is>
          <t>Marriage fraud and similar conduct are significant adverse factors in discretionary analysis.</t>
        </is>
      </c>
    </row>
    <row r="13" ht="45" customHeight="1">
      <c r="A13" s="19" t="inlineStr">
        <is>
          <t>Matter of Buscemi, 19 I&amp;N Dec. 628 (BIA 1988)</t>
        </is>
      </c>
      <c r="B13" s="14" t="inlineStr">
        <is>
          <t>Outlines unfavorable factors including circumvention of orderly refugee/immigration procedures.</t>
        </is>
      </c>
    </row>
    <row r="14" ht="45" customHeight="1">
      <c r="A14" s="19" t="inlineStr">
        <is>
          <t>Matter of Edwards, 20 I&amp;N Dec. 191 (BIA 1990)</t>
        </is>
      </c>
      <c r="B14" s="14" t="inlineStr">
        <is>
          <t>Reaffirms the balancing-of-factors approach to discretionary relief and the weight given to rehabilitation.</t>
        </is>
      </c>
    </row>
    <row r="15" ht="45" customHeight="1">
      <c r="A15" s="19" t="inlineStr">
        <is>
          <t>Matter of Mendez-Morales, 21 I&amp;N Dec. 296 (BIA 1996)</t>
        </is>
      </c>
      <c r="B15" s="14" t="inlineStr">
        <is>
          <t>Unlawful entry and immigration violations weigh against favorable exercise but can be outweighed by strong equities.</t>
        </is>
      </c>
    </row>
    <row r="16" ht="45" customHeight="1">
      <c r="A16" s="19" t="inlineStr">
        <is>
          <t>Matter of Cavazos, 17 I&amp;N Dec. 215 (BIA 1980) / Matter of Ibrahim, 18 I&amp;N Dec. 55 (BIA 1981)</t>
        </is>
      </c>
      <c r="B16" s="14" t="inlineStr">
        <is>
          <t>Address weight of family ties and hardship as positive equities in discretionary relief.</t>
        </is>
      </c>
    </row>
    <row r="17" ht="45" customHeight="1">
      <c r="A17" s="19" t="inlineStr">
        <is>
          <t>Matter of Castillo-Perez, 27 I&amp;N Dec. 664 (BIA 2019)</t>
        </is>
      </c>
      <c r="B17" s="14" t="inlineStr">
        <is>
          <t>DUI convictions and unlawful conduct are significant negative factors in GMC/discretionary determinations, even absent a conviction in some circumstances.</t>
        </is>
      </c>
    </row>
    <row r="18" ht="45" customHeight="1">
      <c r="A18" s="19" t="inlineStr">
        <is>
          <t>Matter of Marquez, 18 I&amp;N Dec. 168 (BIA 1981)</t>
        </is>
      </c>
      <c r="B18" s="14" t="inlineStr">
        <is>
          <t>Discusses the balancing test and burden on the applicant to establish discretion warrants relief.</t>
        </is>
      </c>
    </row>
    <row r="19" ht="45" customHeight="1">
      <c r="A19" s="19" t="inlineStr">
        <is>
          <t>Patel v. Garland, 596 U.S. 328 (2022)</t>
        </is>
      </c>
      <c r="B19" s="14" t="inlineStr">
        <is>
          <t>Confirms the discretionary nature of certain immigration determinations and limits on judicial review of factual findings underlying discretionary denials.</t>
        </is>
      </c>
    </row>
    <row r="20" ht="45" customHeight="1">
      <c r="A20" s="19" t="inlineStr">
        <is>
          <t>Right to Counsel — APA 5 U.S.C. §555(b); 8 CFR §292.5(b)</t>
        </is>
      </c>
      <c r="B20" s="14" t="inlineStr">
        <is>
          <t>Applicant entitled to representation at AOS interviews; counsel should be prepared to address discretion directly given heightened post-PM-602-0199 scrutiny.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2026-06-23T21:43:09Z</dcterms:created>
  <dcterms:modified xmlns:dcterms="http://purl.org/dc/terms/" xmlns:xsi="http://www.w3.org/2001/XMLSchema-instance" xsi:type="dcterms:W3CDTF">2026-06-23T21:43:09Z</dcterms:modified>
</cp:coreProperties>
</file>